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3a2247f9004c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历史新旧两版" sheetId="1" r:id="R463d5545dcf64417"/>
    <x:sheet xmlns:r="http://schemas.openxmlformats.org/officeDocument/2006/relationships" name="单因素对照" sheetId="2" r:id="Rcbb951b7d4fb4cfa"/>
    <x:sheet xmlns:r="http://schemas.openxmlformats.org/officeDocument/2006/relationships" name="爆品长尾证据" sheetId="3" r:id="R1c282d5d08ef45bb"/>
    <x:sheet xmlns:r="http://schemas.openxmlformats.org/officeDocument/2006/relationships" name="配对区间" sheetId="4" r:id="Rf84b539676f241b2"/>
    <x:sheet xmlns:r="http://schemas.openxmlformats.org/officeDocument/2006/relationships" name="冻结选参" sheetId="5" r:id="Rff621e64b0ac47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0000"/>
    <x:numFmt numFmtId="201" formatCode="#,##0"/>
    <x:numFmt numFmtId="202" formatCode="0.0000%"/>
  </x:numFmts>
  <x:fonts count="4">
    <x:font>
      <x:sz val="11"/>
      <x:name val="Carlito"/>
    </x:font>
    <x:font>
      <x:b/>
      <x:sz val="15"/>
      <x:color rgb="FF17324D"/>
      <x:name val="Microsoft YaHei"/>
    </x:font>
    <x:font>
      <x:b/>
      <x:sz val="10"/>
      <x:color rgb="FFFFFFFF"/>
      <x:name val="Microsoft YaHei"/>
    </x:font>
    <x:font>
      <x:sz val="10"/>
      <x:color rgb="FF17324D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17324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202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c6910ddca74f42" /><Relationship Type="http://schemas.openxmlformats.org/officeDocument/2006/relationships/theme" Target="/xl/theme/theme1.xml" Id="R774db517f12d4d16" /><Relationship Type="http://schemas.openxmlformats.org/officeDocument/2006/relationships/sharedStrings" Target="/xl/sharedStrings.xml" Id="Rc07d8e033edf4392" /><Relationship Type="http://schemas.openxmlformats.org/officeDocument/2006/relationships/worksheet" Target="/xl/worksheets/sheet1.xml" Id="R463d5545dcf64417" /><Relationship Type="http://schemas.openxmlformats.org/officeDocument/2006/relationships/worksheet" Target="/xl/worksheets/sheet2.xml" Id="Rcbb951b7d4fb4cfa" /><Relationship Type="http://schemas.openxmlformats.org/officeDocument/2006/relationships/worksheet" Target="/xl/worksheets/sheet3.xml" Id="R1c282d5d08ef45bb" /><Relationship Type="http://schemas.openxmlformats.org/officeDocument/2006/relationships/worksheet" Target="/xl/worksheets/sheet4.xml" Id="Rf84b539676f241b2" /><Relationship Type="http://schemas.openxmlformats.org/officeDocument/2006/relationships/worksheet" Target="/xl/worksheets/sheet5.xml" Id="Rff621e64b0ac471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2">
      <x:c r="A2" s="1" t="str">
        <x:v>历史交付：两版各六种方法</x:v>
      </x:c>
    </x:row>
    <x:row r="4" ht="38" customHeight="1">
      <x:c r="A4" s="5" t="str">
        <x:v>版本或约束</x:v>
      </x:c>
      <x:c r="B4" s="5" t="str">
        <x:v>方法</x:v>
      </x:c>
      <x:c r="C4" s="5" t="str">
        <x:v>销量</x:v>
      </x:c>
      <x:c r="D4" s="5" t="str">
        <x:v>需求</x:v>
      </x:c>
      <x:c r="E4" s="5" t="str">
        <x:v>需求满足率</x:v>
      </x:c>
      <x:c r="F4" s="5" t="str">
        <x:v>正库存商品天</x:v>
      </x:c>
      <x:c r="G4" s="5" t="str">
        <x:v>全部商品天</x:v>
      </x:c>
      <x:c r="H4" s="5" t="str">
        <x:v>正库存比例</x:v>
      </x:c>
      <x:c r="I4" s="5" t="str">
        <x:v>累计期末库存</x:v>
      </x:c>
      <x:c r="J4" s="5" t="str">
        <x:v>库存需求比↓</x:v>
      </x:c>
      <x:c r="K4" s="5" t="str">
        <x:v>测试服务达标</x:v>
      </x:c>
    </x:row>
    <x:row r="5" ht="23" customHeight="1">
      <x:c r="A5" s="6" t="str">
        <x:v>旧版：需求满足率</x:v>
      </x:c>
      <x:c r="B5" s="6" t="str">
        <x:v>特征聚类DRO</x:v>
      </x:c>
      <x:c r="C5" s="8" t="n">
        <x:v>87341433</x:v>
      </x:c>
      <x:c r="D5" s="8" t="n">
        <x:v>90465437</x:v>
      </x:c>
      <x:c r="E5" s="9" t="n">
        <x:f>C5/D5</x:f>
        <x:v>0.9654674303955443</x:v>
      </x:c>
      <x:c r="F5" s="8" t="n">
        <x:v>128404</x:v>
      </x:c>
      <x:c r="G5" s="8" t="n">
        <x:v>168000</x:v>
      </x:c>
      <x:c r="H5" s="9" t="n">
        <x:f>F5/G5</x:f>
        <x:v>0.7643095238095238</x:v>
      </x:c>
      <x:c r="I5" s="8" t="n">
        <x:v>15290909</x:v>
      </x:c>
      <x:c r="J5" s="7" t="n">
        <x:f>I5/D5</x:f>
        <x:v>0.1690248730020505</x:v>
      </x:c>
      <x:c r="K5" s="7" t="str">
        <x:f>IF(E5&gt;=95%,"达标","未达标")</x:f>
        <x:v>达标</x:v>
      </x:c>
    </x:row>
    <x:row r="6" ht="23" customHeight="1">
      <x:c r="A6" s="6" t="str">
        <x:v>旧版：需求满足率</x:v>
      </x:c>
      <x:c r="B6" s="6" t="str">
        <x:v>不分组DRO</x:v>
      </x:c>
      <x:c r="C6" s="8" t="n">
        <x:v>87552983</x:v>
      </x:c>
      <x:c r="D6" s="8" t="n">
        <x:v>90465437</x:v>
      </x:c>
      <x:c r="E6" s="9" t="n">
        <x:f>C6/D6</x:f>
        <x:v>0.9678058925421429</x:v>
      </x:c>
      <x:c r="F6" s="8" t="n">
        <x:v>125504</x:v>
      </x:c>
      <x:c r="G6" s="8" t="n">
        <x:v>168000</x:v>
      </x:c>
      <x:c r="H6" s="9" t="n">
        <x:f>F6/G6</x:f>
        <x:v>0.7470476190476191</x:v>
      </x:c>
      <x:c r="I6" s="8" t="n">
        <x:v>16096062</x:v>
      </x:c>
      <x:c r="J6" s="7" t="n">
        <x:f>I6/D6</x:f>
        <x:v>0.1779249902921488</x:v>
      </x:c>
      <x:c r="K6" s="7" t="str">
        <x:f>IF(E6&gt;=95%,"达标","未达标")</x:f>
        <x:v>达标</x:v>
      </x:c>
    </x:row>
    <x:row r="7" ht="23" customHeight="1">
      <x:c r="A7" s="6" t="str">
        <x:v>旧版：需求满足率</x:v>
      </x:c>
      <x:c r="B7" s="6" t="str">
        <x:v>爆品/长尾DRO</x:v>
      </x:c>
      <x:c r="C7" s="8" t="n">
        <x:v>87354743</x:v>
      </x:c>
      <x:c r="D7" s="8" t="n">
        <x:v>90465437</x:v>
      </x:c>
      <x:c r="E7" s="9" t="n">
        <x:f>C7/D7</x:f>
        <x:v>0.965614558408644</x:v>
      </x:c>
      <x:c r="F7" s="8" t="n">
        <x:v>128885</x:v>
      </x:c>
      <x:c r="G7" s="8" t="n">
        <x:v>168000</x:v>
      </x:c>
      <x:c r="H7" s="9" t="n">
        <x:f>F7/G7</x:f>
        <x:v>0.767172619047619</x:v>
      </x:c>
      <x:c r="I7" s="8" t="n">
        <x:v>15228944</x:v>
      </x:c>
      <x:c r="J7" s="7" t="n">
        <x:f>I7/D7</x:f>
        <x:v>0.16833991527615128</x:v>
      </x:c>
      <x:c r="K7" s="7" t="str">
        <x:f>IF(E7&gt;=95%,"达标","未达标")</x:f>
        <x:v>达标</x:v>
      </x:c>
    </x:row>
    <x:row r="8" ht="23" customHeight="1">
      <x:c r="A8" s="6" t="str">
        <x:v>旧版：需求满足率</x:v>
      </x:c>
      <x:c r="B8" s="6" t="str">
        <x:v>传统(s,S)</x:v>
      </x:c>
      <x:c r="C8" s="8" t="n">
        <x:v>87364435</x:v>
      </x:c>
      <x:c r="D8" s="8" t="n">
        <x:v>90465437</x:v>
      </x:c>
      <x:c r="E8" s="9" t="n">
        <x:f>C8/D8</x:f>
        <x:v>0.9657216932473338</x:v>
      </x:c>
      <x:c r="F8" s="8" t="n">
        <x:v>127934</x:v>
      </x:c>
      <x:c r="G8" s="8" t="n">
        <x:v>168000</x:v>
      </x:c>
      <x:c r="H8" s="9" t="n">
        <x:f>F8/G8</x:f>
        <x:v>0.7615119047619048</x:v>
      </x:c>
      <x:c r="I8" s="8" t="n">
        <x:v>15568796</x:v>
      </x:c>
      <x:c r="J8" s="7" t="n">
        <x:f>I8/D8</x:f>
        <x:v>0.17209662072377985</x:v>
      </x:c>
      <x:c r="K8" s="7" t="str">
        <x:f>IF(E8&gt;=95%,"达标","未达标")</x:f>
        <x:v>达标</x:v>
      </x:c>
    </x:row>
    <x:row r="9" ht="23" customHeight="1">
      <x:c r="A9" s="6" t="str">
        <x:v>旧版：需求满足率</x:v>
      </x:c>
      <x:c r="B9" s="6" t="str">
        <x:v>零半径经验模型</x:v>
      </x:c>
      <x:c r="C9" s="8" t="n">
        <x:v>87699544</x:v>
      </x:c>
      <x:c r="D9" s="8" t="n">
        <x:v>90465437</x:v>
      </x:c>
      <x:c r="E9" s="9" t="n">
        <x:f>C9/D9</x:f>
        <x:v>0.9694259698319923</x:v>
      </x:c>
      <x:c r="F9" s="8" t="n">
        <x:v>135934</x:v>
      </x:c>
      <x:c r="G9" s="8" t="n">
        <x:v>168000</x:v>
      </x:c>
      <x:c r="H9" s="9" t="n">
        <x:f>F9/G9</x:f>
        <x:v>0.8091309523809523</x:v>
      </x:c>
      <x:c r="I9" s="8" t="n">
        <x:v>16897044</x:v>
      </x:c>
      <x:c r="J9" s="7" t="n">
        <x:f>I9/D9</x:f>
        <x:v>0.18677900157603838</x:v>
      </x:c>
      <x:c r="K9" s="7" t="str">
        <x:f>IF(E9&gt;=95%,"达标","未达标")</x:f>
        <x:v>达标</x:v>
      </x:c>
    </x:row>
    <x:row r="10" ht="23" customHeight="1">
      <x:c r="A10" s="6" t="str">
        <x:v>旧版：需求满足率</x:v>
      </x:c>
      <x:c r="B10" s="6" t="str">
        <x:v>传统区间RO</x:v>
      </x:c>
      <x:c r="C10" s="8" t="n">
        <x:v>87489123</x:v>
      </x:c>
      <x:c r="D10" s="8" t="n">
        <x:v>90465437</x:v>
      </x:c>
      <x:c r="E10" s="9" t="n">
        <x:f>C10/D10</x:f>
        <x:v>0.9670999875897355</x:v>
      </x:c>
      <x:c r="F10" s="8" t="n">
        <x:v>124748</x:v>
      </x:c>
      <x:c r="G10" s="8" t="n">
        <x:v>168000</x:v>
      </x:c>
      <x:c r="H10" s="9" t="n">
        <x:f>F10/G10</x:f>
        <x:v>0.742547619047619</x:v>
      </x:c>
      <x:c r="I10" s="8" t="n">
        <x:v>15827996</x:v>
      </x:c>
      <x:c r="J10" s="7" t="n">
        <x:f>I10/D10</x:f>
        <x:v>0.17496180336806422</x:v>
      </x:c>
      <x:c r="K10" s="7" t="str">
        <x:f>IF(E10&gt;=95%,"达标","未达标")</x:f>
        <x:v>达标</x:v>
      </x:c>
    </x:row>
    <x:row r="11" ht="23" customHeight="1">
      <x:c r="A11" s="6" t="str">
        <x:v>被替代32期新版：正库存比例</x:v>
      </x:c>
      <x:c r="B11" s="6" t="str">
        <x:v>特征聚类DRO</x:v>
      </x:c>
      <x:c r="C11" s="8" t="n">
        <x:v>89507946</x:v>
      </x:c>
      <x:c r="D11" s="8" t="n">
        <x:v>90465437</x:v>
      </x:c>
      <x:c r="E11" s="9" t="n">
        <x:f>C11/D11</x:f>
        <x:v>0.9894159467775522</x:v>
      </x:c>
      <x:c r="F11" s="8" t="n">
        <x:v>159714</x:v>
      </x:c>
      <x:c r="G11" s="8" t="n">
        <x:v>168000</x:v>
      </x:c>
      <x:c r="H11" s="9" t="n">
        <x:f>F11/G11</x:f>
        <x:v>0.9506785714285715</x:v>
      </x:c>
      <x:c r="I11" s="8" t="n">
        <x:v>49843863</x:v>
      </x:c>
      <x:c r="J11" s="7" t="n">
        <x:f>I11/D11</x:f>
        <x:v>0.5509713394741022</x:v>
      </x:c>
      <x:c r="K11" s="7" t="str">
        <x:f>IF(AND(H11&gt;=95%,H11&lt;=95.5%),"达标","未达标")</x:f>
        <x:v>达标</x:v>
      </x:c>
    </x:row>
    <x:row r="12" ht="23" customHeight="1">
      <x:c r="A12" s="6" t="str">
        <x:v>被替代32期新版：正库存比例</x:v>
      </x:c>
      <x:c r="B12" s="6" t="str">
        <x:v>不分组DRO</x:v>
      </x:c>
      <x:c r="C12" s="8" t="n">
        <x:v>89538876</x:v>
      </x:c>
      <x:c r="D12" s="8" t="n">
        <x:v>90465437</x:v>
      </x:c>
      <x:c r="E12" s="9" t="n">
        <x:f>C12/D12</x:f>
        <x:v>0.989757845308369</x:v>
      </x:c>
      <x:c r="F12" s="8" t="n">
        <x:v>159759</x:v>
      </x:c>
      <x:c r="G12" s="8" t="n">
        <x:v>168000</x:v>
      </x:c>
      <x:c r="H12" s="9" t="n">
        <x:f>F12/G12</x:f>
        <x:v>0.9509464285714285</x:v>
      </x:c>
      <x:c r="I12" s="8" t="n">
        <x:v>53749006</x:v>
      </x:c>
      <x:c r="J12" s="7" t="n">
        <x:f>I12/D12</x:f>
        <x:v>0.5941385769241351</x:v>
      </x:c>
      <x:c r="K12" s="7" t="str">
        <x:f>IF(AND(H12&gt;=95%,H12&lt;=95.5%),"达标","未达标")</x:f>
        <x:v>达标</x:v>
      </x:c>
    </x:row>
    <x:row r="13" ht="23" customHeight="1">
      <x:c r="A13" s="6" t="str">
        <x:v>被替代32期新版：正库存比例</x:v>
      </x:c>
      <x:c r="B13" s="6" t="str">
        <x:v>爆品/长尾DRO</x:v>
      </x:c>
      <x:c r="C13" s="8" t="n">
        <x:v>89513461</x:v>
      </x:c>
      <x:c r="D13" s="8" t="n">
        <x:v>90465437</x:v>
      </x:c>
      <x:c r="E13" s="9" t="n">
        <x:f>C13/D13</x:f>
        <x:v>0.9894769092863609</x:v>
      </x:c>
      <x:c r="F13" s="8" t="n">
        <x:v>159836</x:v>
      </x:c>
      <x:c r="G13" s="8" t="n">
        <x:v>168000</x:v>
      </x:c>
      <x:c r="H13" s="9" t="n">
        <x:f>F13/G13</x:f>
        <x:v>0.9514047619047619</x:v>
      </x:c>
      <x:c r="I13" s="8" t="n">
        <x:v>50275824</x:v>
      </x:c>
      <x:c r="J13" s="7" t="n">
        <x:f>I13/D13</x:f>
        <x:v>0.5557462127773727</x:v>
      </x:c>
      <x:c r="K13" s="7" t="str">
        <x:f>IF(AND(H13&gt;=95%,H13&lt;=95.5%),"达标","未达标")</x:f>
        <x:v>达标</x:v>
      </x:c>
    </x:row>
    <x:row r="14" ht="23" customHeight="1">
      <x:c r="A14" s="6" t="str">
        <x:v>被替代32期新版：正库存比例</x:v>
      </x:c>
      <x:c r="B14" s="6" t="str">
        <x:v>传统(s,S)</x:v>
      </x:c>
      <x:c r="C14" s="8" t="n">
        <x:v>89468140</x:v>
      </x:c>
      <x:c r="D14" s="8" t="n">
        <x:v>90465437</x:v>
      </x:c>
      <x:c r="E14" s="9" t="n">
        <x:f>C14/D14</x:f>
        <x:v>0.9889759334274812</x:v>
      </x:c>
      <x:c r="F14" s="8" t="n">
        <x:v>159980</x:v>
      </x:c>
      <x:c r="G14" s="8" t="n">
        <x:v>168000</x:v>
      </x:c>
      <x:c r="H14" s="9" t="n">
        <x:f>F14/G14</x:f>
        <x:v>0.9522619047619048</x:v>
      </x:c>
      <x:c r="I14" s="8" t="n">
        <x:v>46670615</x:v>
      </x:c>
      <x:c r="J14" s="7" t="n">
        <x:f>I14/D14</x:f>
        <x:v>0.515894429383014</x:v>
      </x:c>
      <x:c r="K14" s="7" t="str">
        <x:f>IF(AND(H14&gt;=95%,H14&lt;=95.5%),"达标","未达标")</x:f>
        <x:v>达标</x:v>
      </x:c>
    </x:row>
    <x:row r="15" ht="23" customHeight="1">
      <x:c r="A15" s="6" t="str">
        <x:v>被替代32期新版：正库存比例</x:v>
      </x:c>
      <x:c r="B15" s="6" t="str">
        <x:v>零半径经验模型</x:v>
      </x:c>
      <x:c r="C15" s="8" t="n">
        <x:v>89494149</x:v>
      </x:c>
      <x:c r="D15" s="8" t="n">
        <x:v>90465437</x:v>
      </x:c>
      <x:c r="E15" s="9" t="n">
        <x:f>C15/D15</x:f>
        <x:v>0.9892634354930492</x:v>
      </x:c>
      <x:c r="F15" s="8" t="n">
        <x:v>160176</x:v>
      </x:c>
      <x:c r="G15" s="8" t="n">
        <x:v>168000</x:v>
      </x:c>
      <x:c r="H15" s="9" t="n">
        <x:f>F15/G15</x:f>
        <x:v>0.9534285714285714</x:v>
      </x:c>
      <x:c r="I15" s="8" t="n">
        <x:v>48238269</x:v>
      </x:c>
      <x:c r="J15" s="7" t="n">
        <x:f>I15/D15</x:f>
        <x:v>0.5332231910845686</x:v>
      </x:c>
      <x:c r="K15" s="7" t="str">
        <x:f>IF(AND(H15&gt;=95%,H15&lt;=95.5%),"达标","未达标")</x:f>
        <x:v>达标</x:v>
      </x:c>
    </x:row>
    <x:row r="16" ht="23" customHeight="1">
      <x:c r="A16" s="6" t="str">
        <x:v>被替代32期新版：正库存比例</x:v>
      </x:c>
      <x:c r="B16" s="6" t="str">
        <x:v>传统区间RO</x:v>
      </x:c>
      <x:c r="C16" s="8" t="n">
        <x:v>89534666</x:v>
      </x:c>
      <x:c r="D16" s="8" t="n">
        <x:v>90465437</x:v>
      </x:c>
      <x:c r="E16" s="9" t="n">
        <x:f>C16/D16</x:f>
        <x:v>0.9897113081982901</x:v>
      </x:c>
      <x:c r="F16" s="8" t="n">
        <x:v>159613</x:v>
      </x:c>
      <x:c r="G16" s="8" t="n">
        <x:v>168000</x:v>
      </x:c>
      <x:c r="H16" s="9" t="n">
        <x:f>F16/G16</x:f>
        <x:v>0.9500773809523809</x:v>
      </x:c>
      <x:c r="I16" s="8" t="n">
        <x:v>53313645</x:v>
      </x:c>
      <x:c r="J16" s="7" t="n">
        <x:f>I16/D16</x:f>
        <x:v>0.5893261202065492</x:v>
      </x:c>
      <x:c r="K16" s="7" t="str">
        <x:f>IF(AND(H16&gt;=95%,H16&lt;=95.5%),"达标","未达标")</x:f>
        <x:v>达标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2">
      <x:c r="A2" s="1" t="str">
        <x:v>固定模型和候选库，仅改变服务约束</x:v>
      </x:c>
    </x:row>
    <x:row r="4" ht="38" customHeight="1">
      <x:c r="A4" s="5" t="str">
        <x:v>版本或约束</x:v>
      </x:c>
      <x:c r="B4" s="5" t="str">
        <x:v>方法</x:v>
      </x:c>
      <x:c r="C4" s="5" t="str">
        <x:v>销量</x:v>
      </x:c>
      <x:c r="D4" s="5" t="str">
        <x:v>需求</x:v>
      </x:c>
      <x:c r="E4" s="5" t="str">
        <x:v>需求满足率</x:v>
      </x:c>
      <x:c r="F4" s="5" t="str">
        <x:v>正库存商品天</x:v>
      </x:c>
      <x:c r="G4" s="5" t="str">
        <x:v>全部商品天</x:v>
      </x:c>
      <x:c r="H4" s="5" t="str">
        <x:v>正库存比例</x:v>
      </x:c>
      <x:c r="I4" s="5" t="str">
        <x:v>累计期末库存</x:v>
      </x:c>
      <x:c r="J4" s="5" t="str">
        <x:v>库存需求比↓</x:v>
      </x:c>
      <x:c r="K4" s="5" t="str">
        <x:v>测试服务达标</x:v>
      </x:c>
    </x:row>
    <x:row r="5" ht="23" customHeight="1">
      <x:c r="A5" s="6" t="str">
        <x:v>fill</x:v>
      </x:c>
      <x:c r="B5" s="6" t="str">
        <x:v>特征聚类DRO</x:v>
      </x:c>
      <x:c r="C5" s="8" t="n">
        <x:v>85137312</x:v>
      </x:c>
      <x:c r="D5" s="8" t="n">
        <x:v>90465437</x:v>
      </x:c>
      <x:c r="E5" s="9" t="n">
        <x:f>C5/D5</x:f>
        <x:v>0.9411031972354259</x:v>
      </x:c>
      <x:c r="F5" s="8" t="n">
        <x:v>102988</x:v>
      </x:c>
      <x:c r="G5" s="8" t="n">
        <x:v>168000</x:v>
      </x:c>
      <x:c r="H5" s="9" t="n">
        <x:f>F5/G5</x:f>
        <x:v>0.6130238095238095</x:v>
      </x:c>
      <x:c r="I5" s="8" t="n">
        <x:v>9691837</x:v>
      </x:c>
      <x:c r="J5" s="7" t="n">
        <x:f>I5/D5</x:f>
        <x:v>0.10713303689673218</x:v>
      </x:c>
      <x:c r="K5" s="7" t="str">
        <x:f>IF(E5&gt;=95%,"达标","未达标")</x:f>
        <x:v>未达标</x:v>
      </x:c>
    </x:row>
    <x:row r="6" ht="23" customHeight="1">
      <x:c r="A6" s="6" t="str">
        <x:v>positive</x:v>
      </x:c>
      <x:c r="B6" s="6" t="str">
        <x:v>特征聚类DRO</x:v>
      </x:c>
      <x:c r="C6" s="8" t="n">
        <x:v>88185310</x:v>
      </x:c>
      <x:c r="D6" s="8" t="n">
        <x:v>90465437</x:v>
      </x:c>
      <x:c r="E6" s="9" t="n">
        <x:f>C6/D6</x:f>
        <x:v>0.9747956006668049</x:v>
      </x:c>
      <x:c r="F6" s="8" t="n">
        <x:v>142935</x:v>
      </x:c>
      <x:c r="G6" s="8" t="n">
        <x:v>168000</x:v>
      </x:c>
      <x:c r="H6" s="9" t="n">
        <x:f>F6/G6</x:f>
        <x:v>0.8508035714285714</x:v>
      </x:c>
      <x:c r="I6" s="8" t="n">
        <x:v>19611691</x:v>
      </x:c>
      <x:c r="J6" s="7" t="n">
        <x:f>I6/D6</x:f>
        <x:v>0.216786561258749</x:v>
      </x:c>
      <x:c r="K6" s="7" t="str">
        <x:f>IF(AND(H6&gt;=95%,H6&lt;=95.5%),"达标","未达标")</x:f>
        <x:v>未达标</x:v>
      </x:c>
    </x:row>
    <x:row r="7" ht="23" customHeight="1">
      <x:c r="A7" s="6" t="str">
        <x:v>fill</x:v>
      </x:c>
      <x:c r="B7" s="6" t="str">
        <x:v>不分组DRO</x:v>
      </x:c>
      <x:c r="C7" s="8" t="n">
        <x:v>84664089</x:v>
      </x:c>
      <x:c r="D7" s="8" t="n">
        <x:v>90465437</x:v>
      </x:c>
      <x:c r="E7" s="9" t="n">
        <x:f>C7/D7</x:f>
        <x:v>0.9358722160376012</x:v>
      </x:c>
      <x:c r="F7" s="8" t="n">
        <x:v>99204</x:v>
      </x:c>
      <x:c r="G7" s="8" t="n">
        <x:v>168000</x:v>
      </x:c>
      <x:c r="H7" s="9" t="n">
        <x:f>F7/G7</x:f>
        <x:v>0.5905</x:v>
      </x:c>
      <x:c r="I7" s="8" t="n">
        <x:v>8848002</x:v>
      </x:c>
      <x:c r="J7" s="7" t="n">
        <x:f>I7/D7</x:f>
        <x:v>0.09780533089117781</x:v>
      </x:c>
      <x:c r="K7" s="7" t="str">
        <x:f>IF(E7&gt;=95%,"达标","未达标")</x:f>
        <x:v>未达标</x:v>
      </x:c>
    </x:row>
    <x:row r="8" ht="23" customHeight="1">
      <x:c r="A8" s="6" t="str">
        <x:v>positive</x:v>
      </x:c>
      <x:c r="B8" s="6" t="str">
        <x:v>不分组DRO</x:v>
      </x:c>
      <x:c r="C8" s="8" t="n">
        <x:v>89200863</x:v>
      </x:c>
      <x:c r="D8" s="8" t="n">
        <x:v>90465437</x:v>
      </x:c>
      <x:c r="E8" s="9" t="n">
        <x:f>C8/D8</x:f>
        <x:v>0.9860214680663069</x:v>
      </x:c>
      <x:c r="F8" s="8" t="n">
        <x:v>149784</x:v>
      </x:c>
      <x:c r="G8" s="8" t="n">
        <x:v>168000</x:v>
      </x:c>
      <x:c r="H8" s="9" t="n">
        <x:f>F8/G8</x:f>
        <x:v>0.8915714285714286</x:v>
      </x:c>
      <x:c r="I8" s="8" t="n">
        <x:v>30393902</x:v>
      </x:c>
      <x:c r="J8" s="7" t="n">
        <x:f>I8/D8</x:f>
        <x:v>0.3359725328027764</x:v>
      </x:c>
      <x:c r="K8" s="7" t="str">
        <x:f>IF(AND(H8&gt;=95%,H8&lt;=95.5%),"达标","未达标")</x:f>
        <x:v>未达标</x:v>
      </x:c>
    </x:row>
    <x:row r="9" ht="23" customHeight="1">
      <x:c r="A9" s="6" t="str">
        <x:v>fill</x:v>
      </x:c>
      <x:c r="B9" s="6" t="str">
        <x:v>爆品/长尾DRO</x:v>
      </x:c>
      <x:c r="C9" s="8" t="n">
        <x:v>84932887</x:v>
      </x:c>
      <x:c r="D9" s="8" t="n">
        <x:v>90465437</x:v>
      </x:c>
      <x:c r="E9" s="9" t="n">
        <x:f>C9/D9</x:f>
        <x:v>0.938843494449709</x:v>
      </x:c>
      <x:c r="F9" s="8" t="n">
        <x:v>102610</x:v>
      </x:c>
      <x:c r="G9" s="8" t="n">
        <x:v>168000</x:v>
      </x:c>
      <x:c r="H9" s="9" t="n">
        <x:f>F9/G9</x:f>
        <x:v>0.6107738095238096</x:v>
      </x:c>
      <x:c r="I9" s="8" t="n">
        <x:v>9260524</x:v>
      </x:c>
      <x:c r="J9" s="7" t="n">
        <x:f>I9/D9</x:f>
        <x:v>0.10236532655007238</x:v>
      </x:c>
      <x:c r="K9" s="7" t="str">
        <x:f>IF(E9&gt;=95%,"达标","未达标")</x:f>
        <x:v>未达标</x:v>
      </x:c>
    </x:row>
    <x:row r="10" ht="23" customHeight="1">
      <x:c r="A10" s="6" t="str">
        <x:v>positive</x:v>
      </x:c>
      <x:c r="B10" s="6" t="str">
        <x:v>爆品/长尾DRO</x:v>
      </x:c>
      <x:c r="C10" s="8" t="n">
        <x:v>87712497</x:v>
      </x:c>
      <x:c r="D10" s="8" t="n">
        <x:v>90465437</x:v>
      </x:c>
      <x:c r="E10" s="9" t="n">
        <x:f>C10/D10</x:f>
        <x:v>0.9695691515865889</x:v>
      </x:c>
      <x:c r="F10" s="8" t="n">
        <x:v>142830</x:v>
      </x:c>
      <x:c r="G10" s="8" t="n">
        <x:v>168000</x:v>
      </x:c>
      <x:c r="H10" s="9" t="n">
        <x:f>F10/G10</x:f>
        <x:v>0.8501785714285715</x:v>
      </x:c>
      <x:c r="I10" s="8" t="n">
        <x:v>17126691</x:v>
      </x:c>
      <x:c r="J10" s="7" t="n">
        <x:f>I10/D10</x:f>
        <x:v>0.18931750697230368</x:v>
      </x:c>
      <x:c r="K10" s="7" t="str">
        <x:f>IF(AND(H10&gt;=95%,H10&lt;=95.5%),"达标","未达标")</x:f>
        <x:v>未达标</x:v>
      </x:c>
    </x:row>
    <x:row r="11" ht="23" customHeight="1">
      <x:c r="A11" s="6" t="str">
        <x:v>fill</x:v>
      </x:c>
      <x:c r="B11" s="6" t="str">
        <x:v>传统(s,S)</x:v>
      </x:c>
      <x:c r="C11" s="8" t="n">
        <x:v>85089199</x:v>
      </x:c>
      <x:c r="D11" s="8" t="n">
        <x:v>90465437</x:v>
      </x:c>
      <x:c r="E11" s="9" t="n">
        <x:f>C11/D11</x:f>
        <x:v>0.940571358761026</x:v>
      </x:c>
      <x:c r="F11" s="8" t="n">
        <x:v>103040</x:v>
      </x:c>
      <x:c r="G11" s="8" t="n">
        <x:v>168000</x:v>
      </x:c>
      <x:c r="H11" s="9" t="n">
        <x:f>F11/G11</x:f>
        <x:v>0.6133333333333333</x:v>
      </x:c>
      <x:c r="I11" s="8" t="n">
        <x:v>9773414</x:v>
      </x:c>
      <x:c r="J11" s="7" t="n">
        <x:f>I11/D11</x:f>
        <x:v>0.10803478459955927</x:v>
      </x:c>
      <x:c r="K11" s="7" t="str">
        <x:f>IF(E11&gt;=95%,"达标","未达标")</x:f>
        <x:v>未达标</x:v>
      </x:c>
    </x:row>
    <x:row r="12" ht="23" customHeight="1">
      <x:c r="A12" s="6" t="str">
        <x:v>positive</x:v>
      </x:c>
      <x:c r="B12" s="6" t="str">
        <x:v>传统(s,S)</x:v>
      </x:c>
      <x:c r="C12" s="8" t="n">
        <x:v>86596205</x:v>
      </x:c>
      <x:c r="D12" s="8" t="n">
        <x:v>90465437</x:v>
      </x:c>
      <x:c r="E12" s="9" t="n">
        <x:f>C12/D12</x:f>
        <x:v>0.9572297207827559</x:v>
      </x:c>
      <x:c r="F12" s="8" t="n">
        <x:v>134035</x:v>
      </x:c>
      <x:c r="G12" s="8" t="n">
        <x:v>168000</x:v>
      </x:c>
      <x:c r="H12" s="9" t="n">
        <x:f>F12/G12</x:f>
        <x:v>0.7978273809523809</x:v>
      </x:c>
      <x:c r="I12" s="8" t="n">
        <x:v>14002988</x:v>
      </x:c>
      <x:c r="J12" s="7" t="n">
        <x:f>I12/D12</x:f>
        <x:v>0.15478826460540945</x:v>
      </x:c>
      <x:c r="K12" s="7" t="str">
        <x:f>IF(AND(H12&gt;=95%,H12&lt;=95.5%),"达标","未达标")</x:f>
        <x:v>未达标</x:v>
      </x:c>
    </x:row>
    <x:row r="13" ht="23" customHeight="1">
      <x:c r="A13" s="6" t="str">
        <x:v>fill</x:v>
      </x:c>
      <x:c r="B13" s="6" t="str">
        <x:v>零半径经验模型</x:v>
      </x:c>
      <x:c r="C13" s="8" t="n">
        <x:v>85705753</x:v>
      </x:c>
      <x:c r="D13" s="8" t="n">
        <x:v>90465437</x:v>
      </x:c>
      <x:c r="E13" s="9" t="n">
        <x:f>C13/D13</x:f>
        <x:v>0.9473867130051005</x:v>
      </x:c>
      <x:c r="F13" s="8" t="n">
        <x:v>109945</x:v>
      </x:c>
      <x:c r="G13" s="8" t="n">
        <x:v>168000</x:v>
      </x:c>
      <x:c r="H13" s="9" t="n">
        <x:f>F13/G13</x:f>
        <x:v>0.6544345238095238</x:v>
      </x:c>
      <x:c r="I13" s="8" t="n">
        <x:v>10739510</x:v>
      </x:c>
      <x:c r="J13" s="7" t="n">
        <x:f>I13/D13</x:f>
        <x:v>0.11871395702206136</x:v>
      </x:c>
      <x:c r="K13" s="7" t="str">
        <x:f>IF(E13&gt;=95%,"达标","未达标")</x:f>
        <x:v>未达标</x:v>
      </x:c>
    </x:row>
    <x:row r="14" ht="23" customHeight="1">
      <x:c r="A14" s="6" t="str">
        <x:v>positive</x:v>
      </x:c>
      <x:c r="B14" s="6" t="str">
        <x:v>零半径经验模型</x:v>
      </x:c>
      <x:c r="C14" s="8" t="n">
        <x:v>88754041</x:v>
      </x:c>
      <x:c r="D14" s="8" t="n">
        <x:v>90465437</x:v>
      </x:c>
      <x:c r="E14" s="9" t="n">
        <x:f>C14/D14</x:f>
        <x:v>0.9810823220806417</x:v>
      </x:c>
      <x:c r="F14" s="8" t="n">
        <x:v>146112</x:v>
      </x:c>
      <x:c r="G14" s="8" t="n">
        <x:v>168000</x:v>
      </x:c>
      <x:c r="H14" s="9" t="n">
        <x:f>F14/G14</x:f>
        <x:v>0.8697142857142857</x:v>
      </x:c>
      <x:c r="I14" s="8" t="n">
        <x:v>23850076</x:v>
      </x:c>
      <x:c r="J14" s="7" t="n">
        <x:f>I14/D14</x:f>
        <x:v>0.26363743757740316</x:v>
      </x:c>
      <x:c r="K14" s="7" t="str">
        <x:f>IF(AND(H14&gt;=95%,H14&lt;=95.5%),"达标","未达标")</x:f>
        <x:v>未达标</x:v>
      </x:c>
    </x:row>
    <x:row r="15" ht="23" customHeight="1">
      <x:c r="A15" s="6" t="str">
        <x:v>fill</x:v>
      </x:c>
      <x:c r="B15" s="6" t="str">
        <x:v>传统区间RO</x:v>
      </x:c>
      <x:c r="C15" s="8" t="n">
        <x:v>84757548</x:v>
      </x:c>
      <x:c r="D15" s="8" t="n">
        <x:v>90465437</x:v>
      </x:c>
      <x:c r="E15" s="9" t="n">
        <x:f>C15/D15</x:f>
        <x:v>0.9369053067195154</x:v>
      </x:c>
      <x:c r="F15" s="8" t="n">
        <x:v>99897</x:v>
      </x:c>
      <x:c r="G15" s="8" t="n">
        <x:v>168000</x:v>
      </x:c>
      <x:c r="H15" s="9" t="n">
        <x:f>F15/G15</x:f>
        <x:v>0.594625</x:v>
      </x:c>
      <x:c r="I15" s="8" t="n">
        <x:v>8989556</x:v>
      </x:c>
      <x:c r="J15" s="7" t="n">
        <x:f>I15/D15</x:f>
        <x:v>0.09937006107647499</x:v>
      </x:c>
      <x:c r="K15" s="7" t="str">
        <x:f>IF(E15&gt;=95%,"达标","未达标")</x:f>
        <x:v>未达标</x:v>
      </x:c>
    </x:row>
    <x:row r="16" ht="23" customHeight="1">
      <x:c r="A16" s="6" t="str">
        <x:v>positive</x:v>
      </x:c>
      <x:c r="B16" s="6" t="str">
        <x:v>传统区间RO</x:v>
      </x:c>
      <x:c r="C16" s="8" t="n">
        <x:v>88935230</x:v>
      </x:c>
      <x:c r="D16" s="8" t="n">
        <x:v>90465437</x:v>
      </x:c>
      <x:c r="E16" s="9" t="n">
        <x:f>C16/D16</x:f>
        <x:v>0.9830851753913487</x:v>
      </x:c>
      <x:c r="F16" s="8" t="n">
        <x:v>144707</x:v>
      </x:c>
      <x:c r="G16" s="8" t="n">
        <x:v>168000</x:v>
      </x:c>
      <x:c r="H16" s="9" t="n">
        <x:f>F16/G16</x:f>
        <x:v>0.8613511904761905</x:v>
      </x:c>
      <x:c r="I16" s="8" t="n">
        <x:v>26037694</x:v>
      </x:c>
      <x:c r="J16" s="7" t="n">
        <x:f>I16/D16</x:f>
        <x:v>0.28781924747680154</x:v>
      </x:c>
      <x:c r="K16" s="7" t="str">
        <x:f>IF(AND(H16&gt;=95%,H16&lt;=95.5%),"达标","未达标")</x:f>
        <x:v>未达标</x:v>
      </x:c>
    </x:row>
    <x:row r="18">
      <x:c r="A18" t="str">
        <x:v>本次最终模型使用全部60期；选参采用1–32期拟合、33–60期按时间向前验证。</x:v>
      </x:c>
    </x:row>
    <x:row r="20">
      <x:c r="A20" t="str">
        <x:v>测试未达标的策略如实标注。训练参数冻结后，不用测试集回调库存水位。</x:v>
      </x:c>
    </x:row>
    <x:row r="22">
      <x:c r="A22" t="str">
        <x:v>历史两版仅供追溯，最新结果和结论见单因素对照与新版60期报告。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2">
      <x:c r="A2" s="1" t="str">
        <x:v>按商品类别核对服务与库存</x:v>
      </x:c>
    </x:row>
    <x:row r="4" ht="38" customHeight="1">
      <x:c r="A4" s="5" t="str">
        <x:v>约束</x:v>
      </x:c>
      <x:c r="B4" s="5" t="str">
        <x:v>方法</x:v>
      </x:c>
      <x:c r="C4" s="5" t="str">
        <x:v>类别</x:v>
      </x:c>
      <x:c r="D4" s="5" t="str">
        <x:v>SKU数</x:v>
      </x:c>
      <x:c r="E4" s="5" t="str">
        <x:v>需求满足率</x:v>
      </x:c>
      <x:c r="F4" s="5" t="str">
        <x:v>正库存比例</x:v>
      </x:c>
      <x:c r="G4" s="5" t="str">
        <x:v>累计期末库存</x:v>
      </x:c>
      <x:c r="H4" s="5" t="str">
        <x:v>累计需求</x:v>
      </x:c>
      <x:c r="I4" s="5" t="str">
        <x:v>库存需求比</x:v>
      </x:c>
    </x:row>
    <x:row r="5" ht="23" customHeight="1">
      <x:c r="A5" s="6" t="str">
        <x:v>fill</x:v>
      </x:c>
      <x:c r="B5" s="6" t="str">
        <x:v>爆品/长尾DRO</x:v>
      </x:c>
      <x:c r="C5" s="7" t="str">
        <x:v>爆品</x:v>
      </x:c>
      <x:c r="D5" s="7" t="n">
        <x:v>480</x:v>
      </x:c>
      <x:c r="E5" s="9" t="n">
        <x:v>0.9402277277930843</x:v>
      </x:c>
      <x:c r="F5" s="9" t="n">
        <x:v>0.5839285714285715</x:v>
      </x:c>
      <x:c r="G5" s="7" t="n">
        <x:v>6185518</x:v>
      </x:c>
      <x:c r="H5" s="7" t="n">
        <x:v>72368154</x:v>
      </x:c>
      <x:c r="I5" s="7" t="n">
        <x:v>0.08547292777428038</x:v>
      </x:c>
    </x:row>
    <x:row r="6" ht="23" customHeight="1">
      <x:c r="A6" s="6" t="str">
        <x:v>fill</x:v>
      </x:c>
      <x:c r="B6" s="6" t="str">
        <x:v>爆品/长尾DRO</x:v>
      </x:c>
      <x:c r="C6" s="7" t="str">
        <x:v>长尾品</x:v>
      </x:c>
      <x:c r="D6" s="7" t="n">
        <x:v>5520</x:v>
      </x:c>
      <x:c r="E6" s="9" t="n">
        <x:v>0.9333081656511644</x:v>
      </x:c>
      <x:c r="F6" s="9" t="n">
        <x:v>0.6131081780538302</x:v>
      </x:c>
      <x:c r="G6" s="7" t="n">
        <x:v>3075006</x:v>
      </x:c>
      <x:c r="H6" s="7" t="n">
        <x:v>18097283</x:v>
      </x:c>
      <x:c r="I6" s="7" t="n">
        <x:v>0.16991534033036892</x:v>
      </x:c>
    </x:row>
    <x:row r="7" ht="23" customHeight="1">
      <x:c r="A7" s="6" t="str">
        <x:v>fill</x:v>
      </x:c>
      <x:c r="B7" s="6" t="str">
        <x:v>特征聚类DRO</x:v>
      </x:c>
      <x:c r="C7" s="7" t="str">
        <x:v>爆品</x:v>
      </x:c>
      <x:c r="D7" s="7" t="n">
        <x:v>480</x:v>
      </x:c>
      <x:c r="E7" s="9" t="n">
        <x:v>0.9431620709849805</x:v>
      </x:c>
      <x:c r="F7" s="9" t="n">
        <x:v>0.6008928571428571</x:v>
      </x:c>
      <x:c r="G7" s="7" t="n">
        <x:v>6574652</x:v>
      </x:c>
      <x:c r="H7" s="7" t="n">
        <x:v>72368154</x:v>
      </x:c>
      <x:c r="I7" s="7" t="n">
        <x:v>0.09085007198055653</x:v>
      </x:c>
    </x:row>
    <x:row r="8" ht="23" customHeight="1">
      <x:c r="A8" s="6" t="str">
        <x:v>fill</x:v>
      </x:c>
      <x:c r="B8" s="6" t="str">
        <x:v>特征聚类DRO</x:v>
      </x:c>
      <x:c r="C8" s="7" t="str">
        <x:v>长尾品</x:v>
      </x:c>
      <x:c r="D8" s="7" t="n">
        <x:v>5520</x:v>
      </x:c>
      <x:c r="E8" s="9" t="n">
        <x:v>0.9328700888415128</x:v>
      </x:c>
      <x:c r="F8" s="9" t="n">
        <x:v>0.6140786749482402</x:v>
      </x:c>
      <x:c r="G8" s="7" t="n">
        <x:v>3117185</x:v>
      </x:c>
      <x:c r="H8" s="7" t="n">
        <x:v>18097283</x:v>
      </x:c>
      <x:c r="I8" s="7" t="n">
        <x:v>0.1722460216818182</x:v>
      </x:c>
    </x:row>
    <x:row r="9" ht="23" customHeight="1">
      <x:c r="A9" s="6" t="str">
        <x:v>fill</x:v>
      </x:c>
      <x:c r="B9" s="6" t="str">
        <x:v>不分组DRO</x:v>
      </x:c>
      <x:c r="C9" s="7" t="str">
        <x:v>爆品</x:v>
      </x:c>
      <x:c r="D9" s="7" t="n">
        <x:v>480</x:v>
      </x:c>
      <x:c r="E9" s="9" t="n">
        <x:v>0.9378598354187672</x:v>
      </x:c>
      <x:c r="F9" s="9" t="n">
        <x:v>0.5705357142857143</x:v>
      </x:c>
      <x:c r="G9" s="7" t="n">
        <x:v>5917331</x:v>
      </x:c>
      <x:c r="H9" s="7" t="n">
        <x:v>72368154</x:v>
      </x:c>
      <x:c r="I9" s="7" t="n">
        <x:v>0.08176705737167207</x:v>
      </x:c>
    </x:row>
    <x:row r="10" ht="23" customHeight="1">
      <x:c r="A10" s="6" t="str">
        <x:v>fill</x:v>
      </x:c>
      <x:c r="B10" s="6" t="str">
        <x:v>不分组DRO</x:v>
      </x:c>
      <x:c r="C10" s="7" t="str">
        <x:v>长尾品</x:v>
      </x:c>
      <x:c r="D10" s="7" t="n">
        <x:v>5520</x:v>
      </x:c>
      <x:c r="E10" s="9" t="n">
        <x:v>0.927924042520637</x:v>
      </x:c>
      <x:c r="F10" s="9" t="n">
        <x:v>0.5922360248447205</x:v>
      </x:c>
      <x:c r="G10" s="7" t="n">
        <x:v>2930671</x:v>
      </x:c>
      <x:c r="H10" s="7" t="n">
        <x:v>18097283</x:v>
      </x:c>
      <x:c r="I10" s="7" t="n">
        <x:v>0.16193983373084236</x:v>
      </x:c>
    </x:row>
    <x:row r="11" ht="23" customHeight="1">
      <x:c r="A11" s="6" t="str">
        <x:v>fill</x:v>
      </x:c>
      <x:c r="B11" s="6" t="str">
        <x:v>传统区间RO</x:v>
      </x:c>
      <x:c r="C11" s="7" t="str">
        <x:v>爆品</x:v>
      </x:c>
      <x:c r="D11" s="7" t="n">
        <x:v>480</x:v>
      </x:c>
      <x:c r="E11" s="9" t="n">
        <x:v>0.9388877323028026</x:v>
      </x:c>
      <x:c r="F11" s="9" t="n">
        <x:v>0.5759672619047619</x:v>
      </x:c>
      <x:c r="G11" s="7" t="n">
        <x:v>6031792</x:v>
      </x:c>
      <x:c r="H11" s="7" t="n">
        <x:v>72368154</x:v>
      </x:c>
      <x:c r="I11" s="7" t="n">
        <x:v>0.08334870611733443</x:v>
      </x:c>
    </x:row>
    <x:row r="12" ht="23" customHeight="1">
      <x:c r="A12" s="6" t="str">
        <x:v>fill</x:v>
      </x:c>
      <x:c r="B12" s="6" t="str">
        <x:v>传统区间RO</x:v>
      </x:c>
      <x:c r="C12" s="7" t="str">
        <x:v>长尾品</x:v>
      </x:c>
      <x:c r="D12" s="7" t="n">
        <x:v>5520</x:v>
      </x:c>
      <x:c r="E12" s="9" t="n">
        <x:v>0.9289779023735221</x:v>
      </x:c>
      <x:c r="F12" s="9" t="n">
        <x:v>0.5962474120082816</x:v>
      </x:c>
      <x:c r="G12" s="7" t="n">
        <x:v>2957764</x:v>
      </x:c>
      <x:c r="H12" s="7" t="n">
        <x:v>18097283</x:v>
      </x:c>
      <x:c r="I12" s="7" t="n">
        <x:v>0.16343690928632768</x:v>
      </x:c>
    </x:row>
    <x:row r="13" ht="23" customHeight="1">
      <x:c r="A13" s="6" t="str">
        <x:v>fill</x:v>
      </x:c>
      <x:c r="B13" s="6" t="str">
        <x:v>零半径经验模型</x:v>
      </x:c>
      <x:c r="C13" s="7" t="str">
        <x:v>爆品</x:v>
      </x:c>
      <x:c r="D13" s="7" t="n">
        <x:v>480</x:v>
      </x:c>
      <x:c r="E13" s="9" t="n">
        <x:v>0.9483555846954449</x:v>
      </x:c>
      <x:c r="F13" s="9" t="n">
        <x:v>0.6339285714285714</x:v>
      </x:c>
      <x:c r="G13" s="7" t="n">
        <x:v>7294176</x:v>
      </x:c>
      <x:c r="H13" s="7" t="n">
        <x:v>72368154</x:v>
      </x:c>
      <x:c r="I13" s="7" t="n">
        <x:v>0.10079262212491975</x:v>
      </x:c>
    </x:row>
    <x:row r="14" ht="23" customHeight="1">
      <x:c r="A14" s="6" t="str">
        <x:v>fill</x:v>
      </x:c>
      <x:c r="B14" s="6" t="str">
        <x:v>零半径经验模型</x:v>
      </x:c>
      <x:c r="C14" s="7" t="str">
        <x:v>长尾品</x:v>
      </x:c>
      <x:c r="D14" s="7" t="n">
        <x:v>5520</x:v>
      </x:c>
      <x:c r="E14" s="9" t="n">
        <x:v>0.9435123493399534</x:v>
      </x:c>
      <x:c r="F14" s="9" t="n">
        <x:v>0.6562176501035196</x:v>
      </x:c>
      <x:c r="G14" s="7" t="n">
        <x:v>3445334</x:v>
      </x:c>
      <x:c r="H14" s="7" t="n">
        <x:v>18097283</x:v>
      </x:c>
      <x:c r="I14" s="7" t="n">
        <x:v>0.19037852256606697</x:v>
      </x:c>
    </x:row>
    <x:row r="15" ht="23" customHeight="1">
      <x:c r="A15" s="6" t="str">
        <x:v>fill</x:v>
      </x:c>
      <x:c r="B15" s="6" t="str">
        <x:v>传统(s,S)</x:v>
      </x:c>
      <x:c r="C15" s="7" t="str">
        <x:v>爆品</x:v>
      </x:c>
      <x:c r="D15" s="7" t="n">
        <x:v>480</x:v>
      </x:c>
      <x:c r="E15" s="9" t="n">
        <x:v>0.9425062300193535</x:v>
      </x:c>
      <x:c r="F15" s="9" t="n">
        <x:v>0.5997023809523809</x:v>
      </x:c>
      <x:c r="G15" s="7" t="n">
        <x:v>6644231</x:v>
      </x:c>
      <x:c r="H15" s="7" t="n">
        <x:v>72368154</x:v>
      </x:c>
      <x:c r="I15" s="7" t="n">
        <x:v>0.09181153080124166</x:v>
      </x:c>
    </x:row>
    <x:row r="16" ht="23" customHeight="1">
      <x:c r="A16" s="6" t="str">
        <x:v>fill</x:v>
      </x:c>
      <x:c r="B16" s="6" t="str">
        <x:v>传统(s,S)</x:v>
      </x:c>
      <x:c r="C16" s="7" t="str">
        <x:v>长尾品</x:v>
      </x:c>
      <x:c r="D16" s="7" t="n">
        <x:v>5520</x:v>
      </x:c>
      <x:c r="E16" s="9" t="n">
        <x:v>0.9328341165908717</x:v>
      </x:c>
      <x:c r="F16" s="9" t="n">
        <x:v>0.6145186335403726</x:v>
      </x:c>
      <x:c r="G16" s="7" t="n">
        <x:v>3129183</x:v>
      </x:c>
      <x:c r="H16" s="7" t="n">
        <x:v>18097283</x:v>
      </x:c>
      <x:c r="I16" s="7" t="n">
        <x:v>0.17290899412911873</x:v>
      </x:c>
    </x:row>
    <x:row r="17" ht="23" customHeight="1">
      <x:c r="A17" s="6" t="str">
        <x:v>positive</x:v>
      </x:c>
      <x:c r="B17" s="6" t="str">
        <x:v>爆品/长尾DRO</x:v>
      </x:c>
      <x:c r="C17" s="7" t="str">
        <x:v>爆品</x:v>
      </x:c>
      <x:c r="D17" s="7" t="n">
        <x:v>480</x:v>
      </x:c>
      <x:c r="E17" s="9" t="n">
        <x:v>0.9663208626269505</x:v>
      </x:c>
      <x:c r="F17" s="9" t="n">
        <x:v>0.7513392857142858</x:v>
      </x:c>
      <x:c r="G17" s="7" t="n">
        <x:v>10966773</x:v>
      </x:c>
      <x:c r="H17" s="7" t="n">
        <x:v>72368154</x:v>
      </x:c>
      <x:c r="I17" s="7" t="n">
        <x:v>0.15154142248812924</x:v>
      </x:c>
    </x:row>
    <x:row r="18" ht="23" customHeight="1">
      <x:c r="A18" s="6" t="str">
        <x:v>positive</x:v>
      </x:c>
      <x:c r="B18" s="6" t="str">
        <x:v>爆品/长尾DRO</x:v>
      </x:c>
      <x:c r="C18" s="7" t="str">
        <x:v>长尾品</x:v>
      </x:c>
      <x:c r="D18" s="7" t="n">
        <x:v>5520</x:v>
      </x:c>
      <x:c r="E18" s="9" t="n">
        <x:v>0.9825585420750729</x:v>
      </x:c>
      <x:c r="F18" s="9" t="n">
        <x:v>0.8587732919254658</x:v>
      </x:c>
      <x:c r="G18" s="7" t="n">
        <x:v>6159918</x:v>
      </x:c>
      <x:c r="H18" s="7" t="n">
        <x:v>18097283</x:v>
      </x:c>
      <x:c r="I18" s="7" t="n">
        <x:v>0.3403780556451485</x:v>
      </x:c>
    </x:row>
    <x:row r="19" ht="23" customHeight="1">
      <x:c r="A19" s="6" t="str">
        <x:v>positive</x:v>
      </x:c>
      <x:c r="B19" s="6" t="str">
        <x:v>特征聚类DRO</x:v>
      </x:c>
      <x:c r="C19" s="7" t="str">
        <x:v>爆品</x:v>
      </x:c>
      <x:c r="D19" s="7" t="n">
        <x:v>480</x:v>
      </x:c>
      <x:c r="E19" s="9" t="n">
        <x:v>0.973024197908931</x:v>
      </x:c>
      <x:c r="F19" s="9" t="n">
        <x:v>0.8001488095238095</x:v>
      </x:c>
      <x:c r="G19" s="7" t="n">
        <x:v>13446833</x:v>
      </x:c>
      <x:c r="H19" s="7" t="n">
        <x:v>72368154</x:v>
      </x:c>
      <x:c r="I19" s="7" t="n">
        <x:v>0.18581146895083162</x:v>
      </x:c>
    </x:row>
    <x:row r="20" ht="23" customHeight="1">
      <x:c r="A20" s="6" t="str">
        <x:v>positive</x:v>
      </x:c>
      <x:c r="B20" s="6" t="str">
        <x:v>特征聚类DRO</x:v>
      </x:c>
      <x:c r="C20" s="7" t="str">
        <x:v>长尾品</x:v>
      </x:c>
      <x:c r="D20" s="7" t="n">
        <x:v>5520</x:v>
      </x:c>
      <x:c r="E20" s="9" t="n">
        <x:v>0.9818791583244844</x:v>
      </x:c>
      <x:c r="F20" s="9" t="n">
        <x:v>0.8552083333333333</x:v>
      </x:c>
      <x:c r="G20" s="7" t="n">
        <x:v>6164858</x:v>
      </x:c>
      <x:c r="H20" s="7" t="n">
        <x:v>18097283</x:v>
      </x:c>
      <x:c r="I20" s="7" t="n">
        <x:v>0.3406510247974793</x:v>
      </x:c>
    </x:row>
    <x:row r="21" ht="23" customHeight="1">
      <x:c r="A21" s="6" t="str">
        <x:v>positive</x:v>
      </x:c>
      <x:c r="B21" s="6" t="str">
        <x:v>不分组DRO</x:v>
      </x:c>
      <x:c r="C21" s="7" t="str">
        <x:v>爆品</x:v>
      </x:c>
      <x:c r="D21" s="7" t="n">
        <x:v>480</x:v>
      </x:c>
      <x:c r="E21" s="9" t="n">
        <x:v>0.9857411590186479</x:v>
      </x:c>
      <x:c r="F21" s="9" t="n">
        <x:v>0.9114583333333334</x:v>
      </x:c>
      <x:c r="G21" s="7" t="n">
        <x:v>23390748</x:v>
      </x:c>
      <x:c r="H21" s="7" t="n">
        <x:v>72368154</x:v>
      </x:c>
      <x:c r="I21" s="7" t="n">
        <x:v>0.3232188014634172</x:v>
      </x:c>
    </x:row>
    <x:row r="22" ht="23" customHeight="1">
      <x:c r="A22" s="6" t="str">
        <x:v>positive</x:v>
      </x:c>
      <x:c r="B22" s="6" t="str">
        <x:v>不分组DRO</x:v>
      </x:c>
      <x:c r="C22" s="7" t="str">
        <x:v>长尾品</x:v>
      </x:c>
      <x:c r="D22" s="7" t="n">
        <x:v>5520</x:v>
      </x:c>
      <x:c r="E22" s="9" t="n">
        <x:v>0.9871423793284329</x:v>
      </x:c>
      <x:c r="F22" s="9" t="n">
        <x:v>0.889842132505176</x:v>
      </x:c>
      <x:c r="G22" s="7" t="n">
        <x:v>7003154</x:v>
      </x:c>
      <x:c r="H22" s="7" t="n">
        <x:v>18097283</x:v>
      </x:c>
      <x:c r="I22" s="7" t="n">
        <x:v>0.38697267429591503</x:v>
      </x:c>
    </x:row>
    <x:row r="23" ht="23" customHeight="1">
      <x:c r="A23" s="6" t="str">
        <x:v>positive</x:v>
      </x:c>
      <x:c r="B23" s="6" t="str">
        <x:v>传统区间RO</x:v>
      </x:c>
      <x:c r="C23" s="7" t="str">
        <x:v>爆品</x:v>
      </x:c>
      <x:c r="D23" s="7" t="n">
        <x:v>480</x:v>
      </x:c>
      <x:c r="E23" s="9" t="n">
        <x:v>0.9831966419925537</x:v>
      </x:c>
      <x:c r="F23" s="9" t="n">
        <x:v>0.885639880952381</x:v>
      </x:c>
      <x:c r="G23" s="7" t="n">
        <x:v>19865420</x:v>
      </x:c>
      <x:c r="H23" s="7" t="n">
        <x:v>72368154</x:v>
      </x:c>
      <x:c r="I23" s="7" t="n">
        <x:v>0.27450499842789966</x:v>
      </x:c>
    </x:row>
    <x:row r="24" ht="23" customHeight="1">
      <x:c r="A24" s="6" t="str">
        <x:v>positive</x:v>
      </x:c>
      <x:c r="B24" s="6" t="str">
        <x:v>传统区间RO</x:v>
      </x:c>
      <x:c r="C24" s="7" t="str">
        <x:v>长尾品</x:v>
      </x:c>
      <x:c r="D24" s="7" t="n">
        <x:v>5520</x:v>
      </x:c>
      <x:c r="E24" s="9" t="n">
        <x:v>0.9826394381963304</x:v>
      </x:c>
      <x:c r="F24" s="9" t="n">
        <x:v>0.8592391304347826</x:v>
      </x:c>
      <x:c r="G24" s="7" t="n">
        <x:v>6172274</x:v>
      </x:c>
      <x:c r="H24" s="7" t="n">
        <x:v>18097283</x:v>
      </x:c>
      <x:c r="I24" s="7" t="n">
        <x:v>0.341060810067456</x:v>
      </x:c>
    </x:row>
    <x:row r="25" ht="23" customHeight="1">
      <x:c r="A25" s="6" t="str">
        <x:v>positive</x:v>
      </x:c>
      <x:c r="B25" s="6" t="str">
        <x:v>零半径经验模型</x:v>
      </x:c>
      <x:c r="C25" s="7" t="str">
        <x:v>爆品</x:v>
      </x:c>
      <x:c r="D25" s="7" t="n">
        <x:v>480</x:v>
      </x:c>
      <x:c r="E25" s="9" t="n">
        <x:v>0.9802835788791849</x:v>
      </x:c>
      <x:c r="F25" s="9" t="n">
        <x:v>0.8583333333333333</x:v>
      </x:c>
      <x:c r="G25" s="7" t="n">
        <x:v>17338722</x:v>
      </x:c>
      <x:c r="H25" s="7" t="n">
        <x:v>72368154</x:v>
      </x:c>
      <x:c r="I25" s="7" t="n">
        <x:v>0.23959049722340575</x:v>
      </x:c>
    </x:row>
    <x:row r="26" ht="23" customHeight="1">
      <x:c r="A26" s="6" t="str">
        <x:v>positive</x:v>
      </x:c>
      <x:c r="B26" s="6" t="str">
        <x:v>零半径经验模型</x:v>
      </x:c>
      <x:c r="C26" s="7" t="str">
        <x:v>长尾品</x:v>
      </x:c>
      <x:c r="D26" s="7" t="n">
        <x:v>5520</x:v>
      </x:c>
      <x:c r="E26" s="9" t="n">
        <x:v>0.9842763689997002</x:v>
      </x:c>
      <x:c r="F26" s="9" t="n">
        <x:v>0.8707039337474121</x:v>
      </x:c>
      <x:c r="G26" s="7" t="n">
        <x:v>6511354</x:v>
      </x:c>
      <x:c r="H26" s="7" t="n">
        <x:v>18097283</x:v>
      </x:c>
      <x:c r="I26" s="7" t="n">
        <x:v>0.35979732427237837</x:v>
      </x:c>
    </x:row>
    <x:row r="27" ht="23" customHeight="1">
      <x:c r="A27" s="6" t="str">
        <x:v>positive</x:v>
      </x:c>
      <x:c r="B27" s="6" t="str">
        <x:v>传统(s,S)</x:v>
      </x:c>
      <x:c r="C27" s="7" t="str">
        <x:v>爆品</x:v>
      </x:c>
      <x:c r="D27" s="7" t="n">
        <x:v>480</x:v>
      </x:c>
      <x:c r="E27" s="9" t="n">
        <x:v>0.9530608587860345</x:v>
      </x:c>
      <x:c r="F27" s="9" t="n">
        <x:v>0.6631696428571429</x:v>
      </x:c>
      <x:c r="G27" s="7" t="n">
        <x:v>8537939</x:v>
      </x:c>
      <x:c r="H27" s="7" t="n">
        <x:v>72368154</x:v>
      </x:c>
      <x:c r="I27" s="7" t="n">
        <x:v>0.11797922881935057</x:v>
      </x:c>
    </x:row>
    <x:row r="28" ht="23" customHeight="1">
      <x:c r="A28" s="6" t="str">
        <x:v>positive</x:v>
      </x:c>
      <x:c r="B28" s="6" t="str">
        <x:v>传统(s,S)</x:v>
      </x:c>
      <x:c r="C28" s="7" t="str">
        <x:v>长尾品</x:v>
      </x:c>
      <x:c r="D28" s="7" t="n">
        <x:v>5520</x:v>
      </x:c>
      <x:c r="E28" s="9" t="n">
        <x:v>0.9739003363101522</x:v>
      </x:c>
      <x:c r="F28" s="9" t="n">
        <x:v>0.8095367494824016</x:v>
      </x:c>
      <x:c r="G28" s="7" t="n">
        <x:v>5465049</x:v>
      </x:c>
      <x:c r="H28" s="7" t="n">
        <x:v>18097283</x:v>
      </x:c>
      <x:c r="I28" s="7" t="n">
        <x:v>0.3019817394688473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2">
      <x:c r="A2" s="1" t="str">
        <x:v>相对(s,S)库存需求比差异，负值表示库存更少</x:v>
      </x:c>
    </x:row>
    <x:row r="4" ht="38" customHeight="1">
      <x:c r="A4" s="5" t="str">
        <x:v>约束</x:v>
      </x:c>
      <x:c r="B4" s="5" t="str">
        <x:v>方法</x:v>
      </x:c>
      <x:c r="C4" s="5" t="str">
        <x:v>库存比差异ΔJ</x:v>
      </x:c>
      <x:c r="D4" s="5" t="str">
        <x:v>95%下界</x:v>
      </x:c>
      <x:c r="E4" s="5" t="str">
        <x:v>95%上界</x:v>
      </x:c>
      <x:c r="F4" s="5" t="str">
        <x:v>抽样次数</x:v>
      </x:c>
    </x:row>
    <x:row r="5" ht="23" customHeight="1">
      <x:c r="A5" s="6" t="str">
        <x:v>fill</x:v>
      </x:c>
      <x:c r="B5" s="6" t="str">
        <x:v>特征聚类DRO</x:v>
      </x:c>
      <x:c r="C5" s="7" t="n">
        <x:v>-0.0009017477028271029</x:v>
      </x:c>
      <x:c r="D5" s="7" t="n">
        <x:v>-0.0017452508473014133</x:v>
      </x:c>
      <x:c r="E5" s="7" t="n">
        <x:v>-0.00008165640382492095</x:v>
      </x:c>
      <x:c r="F5" s="7" t="n">
        <x:v>1000</x:v>
      </x:c>
    </x:row>
    <x:row r="6" ht="23" customHeight="1">
      <x:c r="A6" s="6" t="str">
        <x:v>fill</x:v>
      </x:c>
      <x:c r="B6" s="6" t="str">
        <x:v>不分组DRO</x:v>
      </x:c>
      <x:c r="C6" s="7" t="n">
        <x:v>-0.010229453708381468</x:v>
      </x:c>
      <x:c r="D6" s="7" t="n">
        <x:v>-0.011188258085623161</x:v>
      </x:c>
      <x:c r="E6" s="7" t="n">
        <x:v>-0.009246524092973319</x:v>
      </x:c>
      <x:c r="F6" s="7" t="n">
        <x:v>1000</x:v>
      </x:c>
    </x:row>
    <x:row r="7" ht="23" customHeight="1">
      <x:c r="A7" s="6" t="str">
        <x:v>fill</x:v>
      </x:c>
      <x:c r="B7" s="6" t="str">
        <x:v>爆品/长尾DRO</x:v>
      </x:c>
      <x:c r="C7" s="7" t="n">
        <x:v>-0.0056694580494868994</x:v>
      </x:c>
      <x:c r="D7" s="7" t="n">
        <x:v>-0.006613076242266214</x:v>
      </x:c>
      <x:c r="E7" s="7" t="n">
        <x:v>-0.004715658299589259</x:v>
      </x:c>
      <x:c r="F7" s="7" t="n">
        <x:v>1000</x:v>
      </x:c>
    </x:row>
    <x:row r="8" ht="23" customHeight="1">
      <x:c r="A8" s="6" t="str">
        <x:v>fill</x:v>
      </x:c>
      <x:c r="B8" s="6" t="str">
        <x:v>传统(s,S)</x:v>
      </x:c>
      <x:c r="C8" s="7" t="n">
        <x:v>0</x:v>
      </x:c>
      <x:c r="D8" s="7" t="n">
        <x:v>0</x:v>
      </x:c>
      <x:c r="E8" s="7" t="n">
        <x:v>0</x:v>
      </x:c>
      <x:c r="F8" s="7" t="n">
        <x:v>1000</x:v>
      </x:c>
    </x:row>
    <x:row r="9" ht="23" customHeight="1">
      <x:c r="A9" s="6" t="str">
        <x:v>fill</x:v>
      </x:c>
      <x:c r="B9" s="6" t="str">
        <x:v>零半径经验模型</x:v>
      </x:c>
      <x:c r="C9" s="7" t="n">
        <x:v>0.010679172422502088</x:v>
      </x:c>
      <x:c r="D9" s="7" t="n">
        <x:v>0.009830906414050761</x:v>
      </x:c>
      <x:c r="E9" s="7" t="n">
        <x:v>0.011551361194587719</x:v>
      </x:c>
      <x:c r="F9" s="7" t="n">
        <x:v>1000</x:v>
      </x:c>
    </x:row>
    <x:row r="10" ht="23" customHeight="1">
      <x:c r="A10" s="6" t="str">
        <x:v>fill</x:v>
      </x:c>
      <x:c r="B10" s="6" t="str">
        <x:v>传统区间RO</x:v>
      </x:c>
      <x:c r="C10" s="7" t="n">
        <x:v>-0.008664723523084292</x:v>
      </x:c>
      <x:c r="D10" s="7" t="n">
        <x:v>-0.009607985727460624</x:v>
      </x:c>
      <x:c r="E10" s="7" t="n">
        <x:v>-0.007690571937324647</x:v>
      </x:c>
      <x:c r="F10" s="7" t="n">
        <x:v>1000</x:v>
      </x:c>
    </x:row>
    <x:row r="11" ht="23" customHeight="1">
      <x:c r="A11" s="6" t="str">
        <x:v>positive</x:v>
      </x:c>
      <x:c r="B11" s="6" t="str">
        <x:v>特征聚类DRO</x:v>
      </x:c>
      <x:c r="C11" s="7" t="n">
        <x:v>0.06199829665333955</x:v>
      </x:c>
      <x:c r="D11" s="7" t="n">
        <x:v>0.0587920229137131</x:v>
      </x:c>
      <x:c r="E11" s="7" t="n">
        <x:v>0.06531172600604675</x:v>
      </x:c>
      <x:c r="F11" s="7" t="n">
        <x:v>1000</x:v>
      </x:c>
    </x:row>
    <x:row r="12" ht="23" customHeight="1">
      <x:c r="A12" s="6" t="str">
        <x:v>positive</x:v>
      </x:c>
      <x:c r="B12" s="6" t="str">
        <x:v>不分组DRO</x:v>
      </x:c>
      <x:c r="C12" s="7" t="n">
        <x:v>0.1811842681973669</x:v>
      </x:c>
      <x:c r="D12" s="7" t="n">
        <x:v>0.17662110380264912</x:v>
      </x:c>
      <x:c r="E12" s="7" t="n">
        <x:v>0.18551920753425077</x:v>
      </x:c>
      <x:c r="F12" s="7" t="n">
        <x:v>1000</x:v>
      </x:c>
    </x:row>
    <x:row r="13" ht="23" customHeight="1">
      <x:c r="A13" s="6" t="str">
        <x:v>positive</x:v>
      </x:c>
      <x:c r="B13" s="6" t="str">
        <x:v>爆品/长尾DRO</x:v>
      </x:c>
      <x:c r="C13" s="7" t="n">
        <x:v>0.03452924236689422</x:v>
      </x:c>
      <x:c r="D13" s="7" t="n">
        <x:v>0.031202074069132186</x:v>
      </x:c>
      <x:c r="E13" s="7" t="n">
        <x:v>0.03789413114412815</x:v>
      </x:c>
      <x:c r="F13" s="7" t="n">
        <x:v>1000</x:v>
      </x:c>
    </x:row>
    <x:row r="14" ht="23" customHeight="1">
      <x:c r="A14" s="6" t="str">
        <x:v>positive</x:v>
      </x:c>
      <x:c r="B14" s="6" t="str">
        <x:v>传统(s,S)</x:v>
      </x:c>
      <x:c r="C14" s="7" t="n">
        <x:v>0</x:v>
      </x:c>
      <x:c r="D14" s="7" t="n">
        <x:v>0</x:v>
      </x:c>
      <x:c r="E14" s="7" t="n">
        <x:v>0</x:v>
      </x:c>
      <x:c r="F14" s="7" t="n">
        <x:v>1000</x:v>
      </x:c>
    </x:row>
    <x:row r="15" ht="23" customHeight="1">
      <x:c r="A15" s="6" t="str">
        <x:v>positive</x:v>
      </x:c>
      <x:c r="B15" s="6" t="str">
        <x:v>零半径经验模型</x:v>
      </x:c>
      <x:c r="C15" s="7" t="n">
        <x:v>0.10884917297199372</x:v>
      </x:c>
      <x:c r="D15" s="7" t="n">
        <x:v>0.10520631881273358</x:v>
      </x:c>
      <x:c r="E15" s="7" t="n">
        <x:v>0.11243695940503812</x:v>
      </x:c>
      <x:c r="F15" s="7" t="n">
        <x:v>1000</x:v>
      </x:c>
    </x:row>
    <x:row r="16" ht="23" customHeight="1">
      <x:c r="A16" s="6" t="str">
        <x:v>positive</x:v>
      </x:c>
      <x:c r="B16" s="6" t="str">
        <x:v>传统区间RO</x:v>
      </x:c>
      <x:c r="C16" s="7" t="n">
        <x:v>0.1330309828713921</x:v>
      </x:c>
      <x:c r="D16" s="7" t="n">
        <x:v>0.12873022714275256</x:v>
      </x:c>
      <x:c r="E16" s="7" t="n">
        <x:v>0.13716269129217581</x:v>
      </x:c>
      <x:c r="F16" s="7" t="n">
        <x:v>1000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2">
      <x:c r="A2" s="1" t="str">
        <x:v>同一候选库，两种服务约束分别选参</x:v>
      </x:c>
    </x:row>
    <x:row r="4" ht="38" customHeight="1">
      <x:c r="A4" s="5" t="str">
        <x:v>约束</x:v>
      </x:c>
      <x:c r="B4" s="5" t="str">
        <x:v>方法</x:v>
      </x:c>
      <x:c r="C4" s="5" t="str">
        <x:v>候选编号</x:v>
      </x:c>
      <x:c r="D4" s="5" t="str">
        <x:v>训练需求满足率</x:v>
      </x:c>
      <x:c r="E4" s="5" t="str">
        <x:v>训练正库存比例</x:v>
      </x:c>
      <x:c r="F4" s="5" t="str">
        <x:v>训练库存需求比</x:v>
      </x:c>
      <x:c r="G4" s="5" t="str">
        <x:v>β或分位数s</x:v>
      </x:c>
      <x:c r="H4" s="5" t="str">
        <x:v>半径或分位数S</x:v>
      </x:c>
      <x:c r="I4" s="5" t="str">
        <x:v>安全倍率</x:v>
      </x:c>
      <x:c r="J4" s="5" t="str">
        <x:v>RO宽度Γ</x:v>
      </x:c>
    </x:row>
    <x:row r="5" ht="23" customHeight="1">
      <x:c r="A5" s="6" t="str">
        <x:v>fill</x:v>
      </x:c>
      <x:c r="B5" s="6" t="str">
        <x:v>特征聚类DRO</x:v>
      </x:c>
      <x:c r="C5" s="7" t="n">
        <x:v>10</x:v>
      </x:c>
      <x:c r="D5" s="9" t="n">
        <x:v>0.9504823040974189</x:v>
      </x:c>
      <x:c r="E5" s="9" t="n">
        <x:v>0.6185714285714285</x:v>
      </x:c>
      <x:c r="F5" s="7" t="n">
        <x:v>0.07629241959031875</x:v>
      </x:c>
      <x:c r="G5" s="7" t="n">
        <x:v>0.5</x:v>
      </x:c>
      <x:c r="H5" s="7" t="n">
        <x:v>0.05</x:v>
      </x:c>
      <x:c r="I5" s="7" t="n">
        <x:v>1</x:v>
      </x:c>
      <x:c r="J5" s="7"/>
    </x:row>
    <x:row r="6" ht="23" customHeight="1">
      <x:c r="A6" s="6" t="str">
        <x:v>positive</x:v>
      </x:c>
      <x:c r="B6" s="6" t="str">
        <x:v>特征聚类DRO</x:v>
      </x:c>
      <x:c r="C6" s="7" t="n">
        <x:v>351</x:v>
      </x:c>
      <x:c r="D6" s="9" t="n">
        <x:v>0.9740271777199059</x:v>
      </x:c>
      <x:c r="E6" s="9" t="n">
        <x:v>0.9507440476190476</x:v>
      </x:c>
      <x:c r="F6" s="7" t="n">
        <x:v>0.23622407583875527</x:v>
      </x:c>
      <x:c r="G6" s="7" t="n">
        <x:v>0.99</x:v>
      </x:c>
      <x:c r="H6" s="7" t="n">
        <x:v>0.2</x:v>
      </x:c>
      <x:c r="I6" s="7" t="n">
        <x:v>0.75</x:v>
      </x:c>
      <x:c r="J6" s="7"/>
    </x:row>
    <x:row r="7" ht="23" customHeight="1">
      <x:c r="A7" s="6" t="str">
        <x:v>fill</x:v>
      </x:c>
      <x:c r="B7" s="6" t="str">
        <x:v>不分组DRO</x:v>
      </x:c>
      <x:c r="C7" s="7" t="n">
        <x:v>504</x:v>
      </x:c>
      <x:c r="D7" s="9" t="n">
        <x:v>0.9505092331442743</x:v>
      </x:c>
      <x:c r="E7" s="9" t="n">
        <x:v>0.6212738095238095</x:v>
      </x:c>
      <x:c r="F7" s="7" t="n">
        <x:v>0.07330005416726958</x:v>
      </x:c>
      <x:c r="G7" s="7" t="n">
        <x:v>0.7</x:v>
      </x:c>
      <x:c r="H7" s="7" t="n">
        <x:v>0.3</x:v>
      </x:c>
      <x:c r="I7" s="7" t="n">
        <x:v>0.75</x:v>
      </x:c>
      <x:c r="J7" s="7"/>
    </x:row>
    <x:row r="8" ht="23" customHeight="1">
      <x:c r="A8" s="6" t="str">
        <x:v>positive</x:v>
      </x:c>
      <x:c r="B8" s="6" t="str">
        <x:v>不分组DRO</x:v>
      </x:c>
      <x:c r="C8" s="7" t="n">
        <x:v>458</x:v>
      </x:c>
      <x:c r="D8" s="9" t="n">
        <x:v>0.9757791159152067</x:v>
      </x:c>
      <x:c r="E8" s="9" t="n">
        <x:v>0.9505059523809524</x:v>
      </x:c>
      <x:c r="F8" s="7" t="n">
        <x:v>0.33132673358450826</x:v>
      </x:c>
      <x:c r="G8" s="7" t="n">
        <x:v>0.6</x:v>
      </x:c>
      <x:c r="H8" s="7" t="n">
        <x:v>0.025</x:v>
      </x:c>
      <x:c r="I8" s="7" t="n">
        <x:v>1.25</x:v>
      </x:c>
      <x:c r="J8" s="7"/>
    </x:row>
    <x:row r="9" ht="23" customHeight="1">
      <x:c r="A9" s="6" t="str">
        <x:v>fill</x:v>
      </x:c>
      <x:c r="B9" s="6" t="str">
        <x:v>爆品/长尾DRO</x:v>
      </x:c>
      <x:c r="C9" s="7" t="n">
        <x:v>874</x:v>
      </x:c>
      <x:c r="D9" s="9" t="n">
        <x:v>0.9508529094465064</x:v>
      </x:c>
      <x:c r="E9" s="9" t="n">
        <x:v>0.6428095238095238</x:v>
      </x:c>
      <x:c r="F9" s="7" t="n">
        <x:v>0.07400596586428583</x:v>
      </x:c>
      <x:c r="G9" s="7" t="n">
        <x:v>0.6</x:v>
      </x:c>
      <x:c r="H9" s="7" t="n">
        <x:v>0.01</x:v>
      </x:c>
      <x:c r="I9" s="7" t="n">
        <x:v>1</x:v>
      </x:c>
      <x:c r="J9" s="7"/>
    </x:row>
    <x:row r="10" ht="23" customHeight="1">
      <x:c r="A10" s="6" t="str">
        <x:v>positive</x:v>
      </x:c>
      <x:c r="B10" s="6" t="str">
        <x:v>爆品/长尾DRO</x:v>
      </x:c>
      <x:c r="C10" s="7" t="n">
        <x:v>1215</x:v>
      </x:c>
      <x:c r="D10" s="9" t="n">
        <x:v>0.973526906405275</x:v>
      </x:c>
      <x:c r="E10" s="9" t="n">
        <x:v>0.95125</x:v>
      </x:c>
      <x:c r="F10" s="7" t="n">
        <x:v>0.22321918247308337</x:v>
      </x:c>
      <x:c r="G10" s="7" t="n">
        <x:v>0.995</x:v>
      </x:c>
      <x:c r="H10" s="7" t="n">
        <x:v>0.1</x:v>
      </x:c>
      <x:c r="I10" s="7" t="n">
        <x:v>0.75</x:v>
      </x:c>
      <x:c r="J10" s="7"/>
    </x:row>
    <x:row r="11" ht="23" customHeight="1">
      <x:c r="A11" s="6" t="str">
        <x:v>fill</x:v>
      </x:c>
      <x:c r="B11" s="6" t="str">
        <x:v>传统(s,S)</x:v>
      </x:c>
      <x:c r="C11" s="7" t="n">
        <x:v>1328</x:v>
      </x:c>
      <x:c r="D11" s="9" t="n">
        <x:v>0.9505059278664014</x:v>
      </x:c>
      <x:c r="E11" s="9" t="n">
        <x:v>0.621172619047619</x:v>
      </x:c>
      <x:c r="F11" s="7" t="n">
        <x:v>0.07952126611512995</x:v>
      </x:c>
      <x:c r="G11" s="7" t="n">
        <x:v>0.5</x:v>
      </x:c>
      <x:c r="H11" s="7" t="n">
        <x:v>0.5</x:v>
      </x:c>
      <x:c r="I11" s="7" t="n">
        <x:v>1.0500000000000003</x:v>
      </x:c>
      <x:c r="J11" s="7"/>
    </x:row>
    <x:row r="12" ht="23" customHeight="1">
      <x:c r="A12" s="6" t="str">
        <x:v>positive</x:v>
      </x:c>
      <x:c r="B12" s="6" t="str">
        <x:v>传统(s,S)</x:v>
      </x:c>
      <x:c r="C12" s="7" t="n">
        <x:v>2464</x:v>
      </x:c>
      <x:c r="D12" s="9" t="n">
        <x:v>0.9700076993330666</x:v>
      </x:c>
      <x:c r="E12" s="9" t="n">
        <x:v>0.9503988095238095</x:v>
      </x:c>
      <x:c r="F12" s="7" t="n">
        <x:v>0.2014792083587898</x:v>
      </x:c>
      <x:c r="G12" s="7" t="n">
        <x:v>0.95</x:v>
      </x:c>
      <x:c r="H12" s="7" t="n">
        <x:v>0.999</x:v>
      </x:c>
      <x:c r="I12" s="7" t="n">
        <x:v>0.775</x:v>
      </x:c>
      <x:c r="J12" s="7"/>
    </x:row>
    <x:row r="13" ht="23" customHeight="1">
      <x:c r="A13" s="6" t="str">
        <x:v>fill</x:v>
      </x:c>
      <x:c r="B13" s="6" t="str">
        <x:v>零半径经验模型</x:v>
      </x:c>
      <x:c r="C13" s="7" t="n">
        <x:v>1269</x:v>
      </x:c>
      <x:c r="D13" s="9" t="n">
        <x:v>0.9581882092863686</x:v>
      </x:c>
      <x:c r="E13" s="9" t="n">
        <x:v>0.7262261904761905</x:v>
      </x:c>
      <x:c r="F13" s="7" t="n">
        <x:v>0.09732140452001105</x:v>
      </x:c>
      <x:c r="G13" s="7" t="n">
        <x:v>0.7</x:v>
      </x:c>
      <x:c r="H13" s="7" t="n">
        <x:v>0</x:v>
      </x:c>
      <x:c r="I13" s="7" t="n">
        <x:v>1</x:v>
      </x:c>
      <x:c r="J13" s="7"/>
    </x:row>
    <x:row r="14" ht="23" customHeight="1">
      <x:c r="A14" s="6" t="str">
        <x:v>positive</x:v>
      </x:c>
      <x:c r="B14" s="6" t="str">
        <x:v>零半径经验模型</x:v>
      </x:c>
      <x:c r="C14" s="7" t="n">
        <x:v>1289</x:v>
      </x:c>
      <x:c r="D14" s="9" t="n">
        <x:v>0.9754129133328983</x:v>
      </x:c>
      <x:c r="E14" s="9" t="n">
        <x:v>0.9530952380952381</x:v>
      </x:c>
      <x:c r="F14" s="7" t="n">
        <x:v>0.28899300789390886</x:v>
      </x:c>
      <x:c r="G14" s="7" t="n">
        <x:v>0.95</x:v>
      </x:c>
      <x:c r="H14" s="7" t="n">
        <x:v>0</x:v>
      </x:c>
      <x:c r="I14" s="7" t="n">
        <x:v>1</x:v>
      </x:c>
      <x:c r="J14" s="7"/>
    </x:row>
    <x:row r="15" ht="23" customHeight="1">
      <x:c r="A15" s="6" t="str">
        <x:v>fill</x:v>
      </x:c>
      <x:c r="B15" s="6" t="str">
        <x:v>传统区间RO</x:v>
      </x:c>
      <x:c r="C15" s="7" t="n">
        <x:v>3037</x:v>
      </x:c>
      <x:c r="D15" s="9" t="n">
        <x:v>0.9503799130799035</x:v>
      </x:c>
      <x:c r="E15" s="9" t="n">
        <x:v>0.6201904761904762</x:v>
      </x:c>
      <x:c r="F15" s="7" t="n">
        <x:v>0.07302150123397895</x:v>
      </x:c>
      <x:c r="G15" s="7"/>
      <x:c r="H15" s="7"/>
      <x:c r="I15" s="7"/>
      <x:c r="J15" s="7" t="n">
        <x:v>0.16</x:v>
      </x:c>
    </x:row>
    <x:row r="16" ht="23" customHeight="1">
      <x:c r="A16" s="6" t="str">
        <x:v>positive</x:v>
      </x:c>
      <x:c r="B16" s="6" t="str">
        <x:v>传统区间RO</x:v>
      </x:c>
      <x:c r="C16" s="7" t="n">
        <x:v>3179</x:v>
      </x:c>
      <x:c r="D16" s="9" t="n">
        <x:v>0.9757722363252156</x:v>
      </x:c>
      <x:c r="E16" s="9" t="n">
        <x:v>0.9502678571428571</x:v>
      </x:c>
      <x:c r="F16" s="7" t="n">
        <x:v>0.33001236037272125</x:v>
      </x:c>
      <x:c r="G16" s="7"/>
      <x:c r="H16" s="7"/>
      <x:c r="I16" s="7"/>
      <x:c r="J16" s="7" t="n">
        <x:v>1.58</x:v>
      </x:c>
    </x:row>
  </x:sheetData>
  <x:pageMargins left="0.7" right="0.7" top="0.75" bottom="0.75" header="0.3" footer="0.3"/>
</x:worksheet>
</file>