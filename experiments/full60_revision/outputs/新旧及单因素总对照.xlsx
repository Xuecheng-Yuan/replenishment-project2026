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11e6d1e03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因素对照" sheetId="1" r:id="Ra3ebbff9ecb24dae"/>
    <x:sheet xmlns:r="http://schemas.openxmlformats.org/officeDocument/2006/relationships" name="历史新旧两版" sheetId="2" r:id="Rce1cdcd04e394e08"/>
    <x:sheet xmlns:r="http://schemas.openxmlformats.org/officeDocument/2006/relationships" name="爆品长尾证据" sheetId="3" r:id="R85a6ab6bde3947c8"/>
    <x:sheet xmlns:r="http://schemas.openxmlformats.org/officeDocument/2006/relationships" name="配对区间" sheetId="4" r:id="Rb15249f6639a4926"/>
    <x:sheet xmlns:r="http://schemas.openxmlformats.org/officeDocument/2006/relationships" name="冻结选参" sheetId="5" r:id="R222212d4a3464023"/>
    <x:sheet xmlns:r="http://schemas.openxmlformats.org/officeDocument/2006/relationships" name="逐轮验证" sheetId="6" r:id="R1955a93077d444b3"/>
    <x:sheet xmlns:r="http://schemas.openxmlformats.org/officeDocument/2006/relationships" name="预测参数验证" sheetId="7" r:id="Rf6f6a4b1b9ec4f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000"/>
    <x:numFmt numFmtId="201" formatCode="#,##0"/>
    <x:numFmt numFmtId="202" formatCode="0.0000%"/>
    <x:numFmt numFmtId="203" formatCode="0"/>
  </x:numFmts>
  <x:fonts count="4">
    <x:font>
      <x:sz val="11"/>
      <x:name val="Carlito"/>
    </x:font>
    <x:font>
      <x:b/>
      <x:sz val="15"/>
      <x:color rgb="FF17324D"/>
      <x:name val="Microsoft YaHei"/>
    </x:font>
    <x:font>
      <x:b/>
      <x:sz val="10"/>
      <x:color rgb="FFFFFFFF"/>
      <x:name val="Microsoft YaHei"/>
    </x:font>
    <x:font>
      <x:sz val="10"/>
      <x:color rgb="FF17324D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/>
    </x:xf>
    <x:xf numFmtId="203" fontId="3" fillId="0" borderId="0" xfId="0" applyNumberFormat="1" applyFont="1" applyFill="1" applyBorder="1"/>
    <x:xf numFmtId="203" fontId="3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9f7201ff049a5" /><Relationship Type="http://schemas.openxmlformats.org/officeDocument/2006/relationships/theme" Target="/xl/theme/theme1.xml" Id="Rb4c0258d0a034512" /><Relationship Type="http://schemas.openxmlformats.org/officeDocument/2006/relationships/sharedStrings" Target="/xl/sharedStrings.xml" Id="R9a583aec6e964122" /><Relationship Type="http://schemas.openxmlformats.org/officeDocument/2006/relationships/worksheet" Target="/xl/worksheets/sheet1.xml" Id="Ra3ebbff9ecb24dae" /><Relationship Type="http://schemas.openxmlformats.org/officeDocument/2006/relationships/worksheet" Target="/xl/worksheets/sheet2.xml" Id="Rce1cdcd04e394e08" /><Relationship Type="http://schemas.openxmlformats.org/officeDocument/2006/relationships/worksheet" Target="/xl/worksheets/sheet3.xml" Id="R85a6ab6bde3947c8" /><Relationship Type="http://schemas.openxmlformats.org/officeDocument/2006/relationships/worksheet" Target="/xl/worksheets/sheet4.xml" Id="Rb15249f6639a4926" /><Relationship Type="http://schemas.openxmlformats.org/officeDocument/2006/relationships/worksheet" Target="/xl/worksheets/sheet5.xml" Id="R222212d4a3464023" /><Relationship Type="http://schemas.openxmlformats.org/officeDocument/2006/relationships/worksheet" Target="/xl/worksheets/sheet6.xml" Id="R1955a93077d444b3" /><Relationship Type="http://schemas.openxmlformats.org/officeDocument/2006/relationships/worksheet" Target="/xl/worksheets/sheet7.xml" Id="Rf6f6a4b1b9ec4f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2">
      <x:c r="A2" s="1" t="str">
        <x:v>三轮滚动验证选参，全部60期最终拟合，仅改变服务约束</x:v>
      </x:c>
    </x:row>
    <x:row r="4" ht="38" customHeight="1">
      <x:c r="A4" s="5" t="str">
        <x:v>版本或约束</x:v>
      </x:c>
      <x:c r="B4" s="5" t="str">
        <x:v>方法</x:v>
      </x:c>
      <x:c r="C4" s="5" t="str">
        <x:v>销量</x:v>
      </x:c>
      <x:c r="D4" s="5" t="str">
        <x:v>需求</x:v>
      </x:c>
      <x:c r="E4" s="5" t="str">
        <x:v>需求满足率</x:v>
      </x:c>
      <x:c r="F4" s="5" t="str">
        <x:v>正库存商品天</x:v>
      </x:c>
      <x:c r="G4" s="5" t="str">
        <x:v>全部商品天</x:v>
      </x:c>
      <x:c r="H4" s="5" t="str">
        <x:v>正库存比例</x:v>
      </x:c>
      <x:c r="I4" s="5" t="str">
        <x:v>累计期末库存</x:v>
      </x:c>
      <x:c r="J4" s="5" t="str">
        <x:v>库存需求比↓</x:v>
      </x:c>
      <x:c r="K4" s="5" t="str">
        <x:v>测试服务达标</x:v>
      </x:c>
    </x:row>
    <x:row r="5" ht="23" customHeight="1">
      <x:c r="A5" s="6" t="str">
        <x:v>fill</x:v>
      </x:c>
      <x:c r="B5" s="6" t="str">
        <x:v>特征聚类DRO</x:v>
      </x:c>
      <x:c r="C5" s="8" t="n">
        <x:v>82584261</x:v>
      </x:c>
      <x:c r="D5" s="8" t="n">
        <x:v>90465437</x:v>
      </x:c>
      <x:c r="E5" s="9" t="n">
        <x:f>C5/D5</x:f>
        <x:v>0.9128819109114568</x:v>
      </x:c>
      <x:c r="F5" s="8" t="n">
        <x:v>89341</x:v>
      </x:c>
      <x:c r="G5" s="8" t="n">
        <x:v>168000</x:v>
      </x:c>
      <x:c r="H5" s="9" t="n">
        <x:f>F5/G5</x:f>
        <x:v>0.5317916666666667</x:v>
      </x:c>
      <x:c r="I5" s="8" t="n">
        <x:v>6491316</x:v>
      </x:c>
      <x:c r="J5" s="7" t="n">
        <x:f>I5/D5</x:f>
        <x:v>0.0717546525531071</x:v>
      </x:c>
      <x:c r="K5" s="10" t="str">
        <x:f>IF(E5&gt;=95%,"达标","未达标")</x:f>
        <x:v>未达标</x:v>
      </x:c>
    </x:row>
    <x:row r="6" ht="23" customHeight="1">
      <x:c r="A6" s="6" t="str">
        <x:v>positive</x:v>
      </x:c>
      <x:c r="B6" s="6" t="str">
        <x:v>特征聚类DRO</x:v>
      </x:c>
      <x:c r="C6" s="8" t="n">
        <x:v>88360769</x:v>
      </x:c>
      <x:c r="D6" s="8" t="n">
        <x:v>90465437</x:v>
      </x:c>
      <x:c r="E6" s="9" t="n">
        <x:f>C6/D6</x:f>
        <x:v>0.976735114870445</x:v>
      </x:c>
      <x:c r="F6" s="8" t="n">
        <x:v>139769</x:v>
      </x:c>
      <x:c r="G6" s="8" t="n">
        <x:v>168000</x:v>
      </x:c>
      <x:c r="H6" s="9" t="n">
        <x:f>F6/G6</x:f>
        <x:v>0.8319583333333334</x:v>
      </x:c>
      <x:c r="I6" s="8" t="n">
        <x:v>20542911</x:v>
      </x:c>
      <x:c r="J6" s="7" t="n">
        <x:f>I6/D6</x:f>
        <x:v>0.22708021628193759</x:v>
      </x:c>
      <x:c r="K6" s="10" t="str">
        <x:f>IF(AND(H6&gt;=95%,H6&lt;=95.5%),"达标","未达标")</x:f>
        <x:v>未达标</x:v>
      </x:c>
    </x:row>
    <x:row r="7" ht="23" customHeight="1">
      <x:c r="A7" s="6" t="str">
        <x:v>fill</x:v>
      </x:c>
      <x:c r="B7" s="6" t="str">
        <x:v>不分组DRO</x:v>
      </x:c>
      <x:c r="C7" s="8" t="n">
        <x:v>81749201</x:v>
      </x:c>
      <x:c r="D7" s="8" t="n">
        <x:v>90465437</x:v>
      </x:c>
      <x:c r="E7" s="9" t="n">
        <x:f>C7/D7</x:f>
        <x:v>0.9036512032766724</x:v>
      </x:c>
      <x:c r="F7" s="8" t="n">
        <x:v>80933</x:v>
      </x:c>
      <x:c r="G7" s="8" t="n">
        <x:v>168000</x:v>
      </x:c>
      <x:c r="H7" s="9" t="n">
        <x:f>F7/G7</x:f>
        <x:v>0.4817440476190476</x:v>
      </x:c>
      <x:c r="I7" s="8" t="n">
        <x:v>5722301</x:v>
      </x:c>
      <x:c r="J7" s="7" t="n">
        <x:f>I7/D7</x:f>
        <x:v>0.06325400274140057</x:v>
      </x:c>
      <x:c r="K7" s="10" t="str">
        <x:f>IF(E7&gt;=95%,"达标","未达标")</x:f>
        <x:v>未达标</x:v>
      </x:c>
    </x:row>
    <x:row r="8" ht="23" customHeight="1">
      <x:c r="A8" s="6" t="str">
        <x:v>positive</x:v>
      </x:c>
      <x:c r="B8" s="6" t="str">
        <x:v>不分组DRO</x:v>
      </x:c>
      <x:c r="C8" s="8" t="n">
        <x:v>88218679</x:v>
      </x:c>
      <x:c r="D8" s="8" t="n">
        <x:v>90465437</x:v>
      </x:c>
      <x:c r="E8" s="9" t="n">
        <x:f>C8/D8</x:f>
        <x:v>0.9751644597704204</x:v>
      </x:c>
      <x:c r="F8" s="8" t="n">
        <x:v>133821</x:v>
      </x:c>
      <x:c r="G8" s="8" t="n">
        <x:v>168000</x:v>
      </x:c>
      <x:c r="H8" s="9" t="n">
        <x:f>F8/G8</x:f>
        <x:v>0.7965535714285714</x:v>
      </x:c>
      <x:c r="I8" s="8" t="n">
        <x:v>19581184</x:v>
      </x:c>
      <x:c r="J8" s="7" t="n">
        <x:f>I8/D8</x:f>
        <x:v>0.21644933854683088</x:v>
      </x:c>
      <x:c r="K8" s="10" t="str">
        <x:f>IF(AND(H8&gt;=95%,H8&lt;=95.5%),"达标","未达标")</x:f>
        <x:v>未达标</x:v>
      </x:c>
    </x:row>
    <x:row r="9" ht="23" customHeight="1">
      <x:c r="A9" s="6" t="str">
        <x:v>fill</x:v>
      </x:c>
      <x:c r="B9" s="6" t="str">
        <x:v>爆品/长尾DRO</x:v>
      </x:c>
      <x:c r="C9" s="8" t="n">
        <x:v>82624651</x:v>
      </x:c>
      <x:c r="D9" s="8" t="n">
        <x:v>90465437</x:v>
      </x:c>
      <x:c r="E9" s="9" t="n">
        <x:f>C9/D9</x:f>
        <x:v>0.9133283797656336</x:v>
      </x:c>
      <x:c r="F9" s="8" t="n">
        <x:v>89523</x:v>
      </x:c>
      <x:c r="G9" s="8" t="n">
        <x:v>168000</x:v>
      </x:c>
      <x:c r="H9" s="9" t="n">
        <x:f>F9/G9</x:f>
        <x:v>0.532875</x:v>
      </x:c>
      <x:c r="I9" s="8" t="n">
        <x:v>6469351</x:v>
      </x:c>
      <x:c r="J9" s="7" t="n">
        <x:f>I9/D9</x:f>
        <x:v>0.07151185264268385</x:v>
      </x:c>
      <x:c r="K9" s="10" t="str">
        <x:f>IF(E9&gt;=95%,"达标","未达标")</x:f>
        <x:v>未达标</x:v>
      </x:c>
    </x:row>
    <x:row r="10" ht="23" customHeight="1">
      <x:c r="A10" s="6" t="str">
        <x:v>positive</x:v>
      </x:c>
      <x:c r="B10" s="6" t="str">
        <x:v>爆品/长尾DRO</x:v>
      </x:c>
      <x:c r="C10" s="8" t="n">
        <x:v>86599603</x:v>
      </x:c>
      <x:c r="D10" s="8" t="n">
        <x:v>90465437</x:v>
      </x:c>
      <x:c r="E10" s="9" t="n">
        <x:f>C10/D10</x:f>
        <x:v>0.9572672820891807</x:v>
      </x:c>
      <x:c r="F10" s="8" t="n">
        <x:v>135032</x:v>
      </x:c>
      <x:c r="G10" s="8" t="n">
        <x:v>168000</x:v>
      </x:c>
      <x:c r="H10" s="9" t="n">
        <x:f>F10/G10</x:f>
        <x:v>0.8037619047619048</x:v>
      </x:c>
      <x:c r="I10" s="8" t="n">
        <x:v>13237978</x:v>
      </x:c>
      <x:c r="J10" s="7" t="n">
        <x:f>I10/D10</x:f>
        <x:v>0.14633188584497747</x:v>
      </x:c>
      <x:c r="K10" s="10" t="str">
        <x:f>IF(AND(H10&gt;=95%,H10&lt;=95.5%),"达标","未达标")</x:f>
        <x:v>未达标</x:v>
      </x:c>
    </x:row>
    <x:row r="11" ht="23" customHeight="1">
      <x:c r="A11" s="6" t="str">
        <x:v>fill</x:v>
      </x:c>
      <x:c r="B11" s="6" t="str">
        <x:v>传统(s,S)</x:v>
      </x:c>
      <x:c r="C11" s="8" t="n">
        <x:v>82765156</x:v>
      </x:c>
      <x:c r="D11" s="8" t="n">
        <x:v>90465437</x:v>
      </x:c>
      <x:c r="E11" s="9" t="n">
        <x:f>C11/D11</x:f>
        <x:v>0.9148815143622199</x:v>
      </x:c>
      <x:c r="F11" s="8" t="n">
        <x:v>90974</x:v>
      </x:c>
      <x:c r="G11" s="8" t="n">
        <x:v>168000</x:v>
      </x:c>
      <x:c r="H11" s="9" t="n">
        <x:f>F11/G11</x:f>
        <x:v>0.5415119047619048</x:v>
      </x:c>
      <x:c r="I11" s="8" t="n">
        <x:v>6747221</x:v>
      </x:c>
      <x:c r="J11" s="7" t="n">
        <x:f>I11/D11</x:f>
        <x:v>0.07458341244734162</x:v>
      </x:c>
      <x:c r="K11" s="10" t="str">
        <x:f>IF(E11&gt;=95%,"达标","未达标")</x:f>
        <x:v>未达标</x:v>
      </x:c>
    </x:row>
    <x:row r="12" ht="23" customHeight="1">
      <x:c r="A12" s="6" t="str">
        <x:v>positive</x:v>
      </x:c>
      <x:c r="B12" s="6" t="str">
        <x:v>传统(s,S)</x:v>
      </x:c>
      <x:c r="C12" s="8" t="n">
        <x:v>88244428</x:v>
      </x:c>
      <x:c r="D12" s="8" t="n">
        <x:v>90465437</x:v>
      </x:c>
      <x:c r="E12" s="9" t="n">
        <x:f>C12/D12</x:f>
        <x:v>0.9754490878101877</x:v>
      </x:c>
      <x:c r="F12" s="8" t="n">
        <x:v>139506</x:v>
      </x:c>
      <x:c r="G12" s="8" t="n">
        <x:v>168000</x:v>
      </x:c>
      <x:c r="H12" s="9" t="n">
        <x:f>F12/G12</x:f>
        <x:v>0.8303928571428572</x:v>
      </x:c>
      <x:c r="I12" s="8" t="n">
        <x:v>20128141</x:v>
      </x:c>
      <x:c r="J12" s="7" t="n">
        <x:f>I12/D12</x:f>
        <x:v>0.22249537135381328</x:v>
      </x:c>
      <x:c r="K12" s="10" t="str">
        <x:f>IF(AND(H12&gt;=95%,H12&lt;=95.5%),"达标","未达标")</x:f>
        <x:v>未达标</x:v>
      </x:c>
    </x:row>
    <x:row r="13" ht="23" customHeight="1">
      <x:c r="A13" s="6" t="str">
        <x:v>fill</x:v>
      </x:c>
      <x:c r="B13" s="6" t="str">
        <x:v>零半径经验模型</x:v>
      </x:c>
      <x:c r="C13" s="8" t="n">
        <x:v>82719916</x:v>
      </x:c>
      <x:c r="D13" s="8" t="n">
        <x:v>90465437</x:v>
      </x:c>
      <x:c r="E13" s="9" t="n">
        <x:f>C13/D13</x:f>
        <x:v>0.9143814338729166</x:v>
      </x:c>
      <x:c r="F13" s="8" t="n">
        <x:v>89169</x:v>
      </x:c>
      <x:c r="G13" s="8" t="n">
        <x:v>168000</x:v>
      </x:c>
      <x:c r="H13" s="9" t="n">
        <x:f>F13/G13</x:f>
        <x:v>0.5307678571428571</x:v>
      </x:c>
      <x:c r="I13" s="8" t="n">
        <x:v>6619945</x:v>
      </x:c>
      <x:c r="J13" s="7" t="n">
        <x:f>I13/D13</x:f>
        <x:v>0.0731765104942786</x:v>
      </x:c>
      <x:c r="K13" s="10" t="str">
        <x:f>IF(E13&gt;=95%,"达标","未达标")</x:f>
        <x:v>未达标</x:v>
      </x:c>
    </x:row>
    <x:row r="14" ht="23" customHeight="1">
      <x:c r="A14" s="6" t="str">
        <x:v>positive</x:v>
      </x:c>
      <x:c r="B14" s="6" t="str">
        <x:v>零半径经验模型</x:v>
      </x:c>
      <x:c r="C14" s="8" t="n">
        <x:v>87786228</x:v>
      </x:c>
      <x:c r="D14" s="8" t="n">
        <x:v>90465437</x:v>
      </x:c>
      <x:c r="E14" s="9" t="n">
        <x:f>C14/D14</x:f>
        <x:v>0.9703841700339103</x:v>
      </x:c>
      <x:c r="F14" s="8" t="n">
        <x:v>136472</x:v>
      </x:c>
      <x:c r="G14" s="8" t="n">
        <x:v>168000</x:v>
      </x:c>
      <x:c r="H14" s="9" t="n">
        <x:f>F14/G14</x:f>
        <x:v>0.8123333333333334</x:v>
      </x:c>
      <x:c r="I14" s="8" t="n">
        <x:v>17288325</x:v>
      </x:c>
      <x:c r="J14" s="7" t="n">
        <x:f>I14/D14</x:f>
        <x:v>0.1911042003809698</x:v>
      </x:c>
      <x:c r="K14" s="10" t="str">
        <x:f>IF(AND(H14&gt;=95%,H14&lt;=95.5%),"达标","未达标")</x:f>
        <x:v>未达标</x:v>
      </x:c>
    </x:row>
    <x:row r="15" ht="23" customHeight="1">
      <x:c r="A15" s="6" t="str">
        <x:v>fill</x:v>
      </x:c>
      <x:c r="B15" s="6" t="str">
        <x:v>传统区间RO</x:v>
      </x:c>
      <x:c r="C15" s="8" t="n">
        <x:v>83739289</x:v>
      </x:c>
      <x:c r="D15" s="8" t="n">
        <x:v>90465437</x:v>
      </x:c>
      <x:c r="E15" s="9" t="n">
        <x:f>C15/D15</x:f>
        <x:v>0.9256495273437965</x:v>
      </x:c>
      <x:c r="F15" s="8" t="n">
        <x:v>92724</x:v>
      </x:c>
      <x:c r="G15" s="8" t="n">
        <x:v>168000</x:v>
      </x:c>
      <x:c r="H15" s="9" t="n">
        <x:f>F15/G15</x:f>
        <x:v>0.5519285714285714</x:v>
      </x:c>
      <x:c r="I15" s="8" t="n">
        <x:v>7616989</x:v>
      </x:c>
      <x:c r="J15" s="7" t="n">
        <x:f>I15/D15</x:f>
        <x:v>0.08419778041861446</x:v>
      </x:c>
      <x:c r="K15" s="10" t="str">
        <x:f>IF(E15&gt;=95%,"达标","未达标")</x:f>
        <x:v>未达标</x:v>
      </x:c>
    </x:row>
    <x:row r="16" ht="23" customHeight="1">
      <x:c r="A16" s="6" t="str">
        <x:v>positive</x:v>
      </x:c>
      <x:c r="B16" s="6" t="str">
        <x:v>传统区间RO</x:v>
      </x:c>
      <x:c r="C16" s="8" t="n">
        <x:v>88557637</x:v>
      </x:c>
      <x:c r="D16" s="8" t="n">
        <x:v>90465437</x:v>
      </x:c>
      <x:c r="E16" s="9" t="n">
        <x:f>C16/D16</x:f>
        <x:v>0.978911282990873</x:v>
      </x:c>
      <x:c r="F16" s="8" t="n">
        <x:v>138679</x:v>
      </x:c>
      <x:c r="G16" s="8" t="n">
        <x:v>168000</x:v>
      </x:c>
      <x:c r="H16" s="9" t="n">
        <x:f>F16/G16</x:f>
        <x:v>0.8254702380952381</x:v>
      </x:c>
      <x:c r="I16" s="8" t="n">
        <x:v>22079475</x:v>
      </x:c>
      <x:c r="J16" s="7" t="n">
        <x:f>I16/D16</x:f>
        <x:v>0.24406531082141347</x:v>
      </x:c>
      <x:c r="K16" s="10" t="str">
        <x:f>IF(AND(H16&gt;=95%,H16&lt;=95.5%),"达标","未达标")</x:f>
        <x:v>未达标</x:v>
      </x:c>
    </x:row>
    <x:row r="18">
      <x:c r="A18" t="str">
        <x:v>选参：1–24→25–36、1–36→37–48、1–48→49–60三轮合并36期；最终全部60期拟合。</x:v>
      </x:c>
    </x:row>
    <x:row r="20">
      <x:c r="A20" t="str">
        <x:v>测试未达标的策略如实标注。训练参数冻结后，不用测试集回调库存水位。</x:v>
      </x:c>
    </x:row>
    <x:row r="22">
      <x:c r="A22" t="str">
        <x:v>95%–95.5%作用于三轮合并正库存比例；各轮表现见逐轮验证，独立测试见本页。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2">
      <x:c r="A2" s="1" t="str">
        <x:v>历史结果：旧需求版、32期版与60期一次划分版</x:v>
      </x:c>
    </x:row>
    <x:row r="4" ht="38" customHeight="1">
      <x:c r="A4" s="5" t="str">
        <x:v>版本或约束</x:v>
      </x:c>
      <x:c r="B4" s="5" t="str">
        <x:v>方法</x:v>
      </x:c>
      <x:c r="C4" s="5" t="str">
        <x:v>销量</x:v>
      </x:c>
      <x:c r="D4" s="5" t="str">
        <x:v>需求</x:v>
      </x:c>
      <x:c r="E4" s="5" t="str">
        <x:v>需求满足率</x:v>
      </x:c>
      <x:c r="F4" s="5" t="str">
        <x:v>正库存商品天</x:v>
      </x:c>
      <x:c r="G4" s="5" t="str">
        <x:v>全部商品天</x:v>
      </x:c>
      <x:c r="H4" s="5" t="str">
        <x:v>正库存比例</x:v>
      </x:c>
      <x:c r="I4" s="5" t="str">
        <x:v>累计期末库存</x:v>
      </x:c>
      <x:c r="J4" s="5" t="str">
        <x:v>库存需求比↓</x:v>
      </x:c>
      <x:c r="K4" s="5" t="str">
        <x:v>测试服务达标</x:v>
      </x:c>
    </x:row>
    <x:row r="5" ht="23" customHeight="1">
      <x:c r="A5" s="6" t="str">
        <x:v>旧版：需求满足率</x:v>
      </x:c>
      <x:c r="B5" s="6" t="str">
        <x:v>特征聚类DRO</x:v>
      </x:c>
      <x:c r="C5" s="8" t="n">
        <x:v>87341433</x:v>
      </x:c>
      <x:c r="D5" s="8" t="n">
        <x:v>90465437</x:v>
      </x:c>
      <x:c r="E5" s="9" t="n">
        <x:f>C5/D5</x:f>
        <x:v>0.9654674303955443</x:v>
      </x:c>
      <x:c r="F5" s="8" t="n">
        <x:v>128404</x:v>
      </x:c>
      <x:c r="G5" s="8" t="n">
        <x:v>168000</x:v>
      </x:c>
      <x:c r="H5" s="9" t="n">
        <x:f>F5/G5</x:f>
        <x:v>0.7643095238095238</x:v>
      </x:c>
      <x:c r="I5" s="8" t="n">
        <x:v>15290909</x:v>
      </x:c>
      <x:c r="J5" s="7" t="n">
        <x:f>I5/D5</x:f>
        <x:v>0.1690248730020505</x:v>
      </x:c>
      <x:c r="K5" s="10" t="str">
        <x:f>IF(E5&gt;=95%,"达标","未达标")</x:f>
        <x:v>达标</x:v>
      </x:c>
    </x:row>
    <x:row r="6" ht="23" customHeight="1">
      <x:c r="A6" s="6" t="str">
        <x:v>旧版：需求满足率</x:v>
      </x:c>
      <x:c r="B6" s="6" t="str">
        <x:v>不分组DRO</x:v>
      </x:c>
      <x:c r="C6" s="8" t="n">
        <x:v>87552983</x:v>
      </x:c>
      <x:c r="D6" s="8" t="n">
        <x:v>90465437</x:v>
      </x:c>
      <x:c r="E6" s="9" t="n">
        <x:f>C6/D6</x:f>
        <x:v>0.9678058925421429</x:v>
      </x:c>
      <x:c r="F6" s="8" t="n">
        <x:v>125504</x:v>
      </x:c>
      <x:c r="G6" s="8" t="n">
        <x:v>168000</x:v>
      </x:c>
      <x:c r="H6" s="9" t="n">
        <x:f>F6/G6</x:f>
        <x:v>0.7470476190476191</x:v>
      </x:c>
      <x:c r="I6" s="8" t="n">
        <x:v>16096062</x:v>
      </x:c>
      <x:c r="J6" s="7" t="n">
        <x:f>I6/D6</x:f>
        <x:v>0.1779249902921488</x:v>
      </x:c>
      <x:c r="K6" s="10" t="str">
        <x:f>IF(E6&gt;=95%,"达标","未达标")</x:f>
        <x:v>达标</x:v>
      </x:c>
    </x:row>
    <x:row r="7" ht="23" customHeight="1">
      <x:c r="A7" s="6" t="str">
        <x:v>旧版：需求满足率</x:v>
      </x:c>
      <x:c r="B7" s="6" t="str">
        <x:v>爆品/长尾DRO</x:v>
      </x:c>
      <x:c r="C7" s="8" t="n">
        <x:v>87354743</x:v>
      </x:c>
      <x:c r="D7" s="8" t="n">
        <x:v>90465437</x:v>
      </x:c>
      <x:c r="E7" s="9" t="n">
        <x:f>C7/D7</x:f>
        <x:v>0.965614558408644</x:v>
      </x:c>
      <x:c r="F7" s="8" t="n">
        <x:v>128885</x:v>
      </x:c>
      <x:c r="G7" s="8" t="n">
        <x:v>168000</x:v>
      </x:c>
      <x:c r="H7" s="9" t="n">
        <x:f>F7/G7</x:f>
        <x:v>0.767172619047619</x:v>
      </x:c>
      <x:c r="I7" s="8" t="n">
        <x:v>15228944</x:v>
      </x:c>
      <x:c r="J7" s="7" t="n">
        <x:f>I7/D7</x:f>
        <x:v>0.16833991527615128</x:v>
      </x:c>
      <x:c r="K7" s="10" t="str">
        <x:f>IF(E7&gt;=95%,"达标","未达标")</x:f>
        <x:v>达标</x:v>
      </x:c>
    </x:row>
    <x:row r="8" ht="23" customHeight="1">
      <x:c r="A8" s="6" t="str">
        <x:v>旧版：需求满足率</x:v>
      </x:c>
      <x:c r="B8" s="6" t="str">
        <x:v>传统(s,S)</x:v>
      </x:c>
      <x:c r="C8" s="8" t="n">
        <x:v>87364435</x:v>
      </x:c>
      <x:c r="D8" s="8" t="n">
        <x:v>90465437</x:v>
      </x:c>
      <x:c r="E8" s="9" t="n">
        <x:f>C8/D8</x:f>
        <x:v>0.9657216932473338</x:v>
      </x:c>
      <x:c r="F8" s="8" t="n">
        <x:v>127934</x:v>
      </x:c>
      <x:c r="G8" s="8" t="n">
        <x:v>168000</x:v>
      </x:c>
      <x:c r="H8" s="9" t="n">
        <x:f>F8/G8</x:f>
        <x:v>0.7615119047619048</x:v>
      </x:c>
      <x:c r="I8" s="8" t="n">
        <x:v>15568796</x:v>
      </x:c>
      <x:c r="J8" s="7" t="n">
        <x:f>I8/D8</x:f>
        <x:v>0.17209662072377985</x:v>
      </x:c>
      <x:c r="K8" s="10" t="str">
        <x:f>IF(E8&gt;=95%,"达标","未达标")</x:f>
        <x:v>达标</x:v>
      </x:c>
    </x:row>
    <x:row r="9" ht="23" customHeight="1">
      <x:c r="A9" s="6" t="str">
        <x:v>旧版：需求满足率</x:v>
      </x:c>
      <x:c r="B9" s="6" t="str">
        <x:v>零半径经验模型</x:v>
      </x:c>
      <x:c r="C9" s="8" t="n">
        <x:v>87699544</x:v>
      </x:c>
      <x:c r="D9" s="8" t="n">
        <x:v>90465437</x:v>
      </x:c>
      <x:c r="E9" s="9" t="n">
        <x:f>C9/D9</x:f>
        <x:v>0.9694259698319923</x:v>
      </x:c>
      <x:c r="F9" s="8" t="n">
        <x:v>135934</x:v>
      </x:c>
      <x:c r="G9" s="8" t="n">
        <x:v>168000</x:v>
      </x:c>
      <x:c r="H9" s="9" t="n">
        <x:f>F9/G9</x:f>
        <x:v>0.8091309523809523</x:v>
      </x:c>
      <x:c r="I9" s="8" t="n">
        <x:v>16897044</x:v>
      </x:c>
      <x:c r="J9" s="7" t="n">
        <x:f>I9/D9</x:f>
        <x:v>0.18677900157603838</x:v>
      </x:c>
      <x:c r="K9" s="10" t="str">
        <x:f>IF(E9&gt;=95%,"达标","未达标")</x:f>
        <x:v>达标</x:v>
      </x:c>
    </x:row>
    <x:row r="10" ht="23" customHeight="1">
      <x:c r="A10" s="6" t="str">
        <x:v>旧版：需求满足率</x:v>
      </x:c>
      <x:c r="B10" s="6" t="str">
        <x:v>传统区间RO</x:v>
      </x:c>
      <x:c r="C10" s="8" t="n">
        <x:v>87489123</x:v>
      </x:c>
      <x:c r="D10" s="8" t="n">
        <x:v>90465437</x:v>
      </x:c>
      <x:c r="E10" s="9" t="n">
        <x:f>C10/D10</x:f>
        <x:v>0.9670999875897355</x:v>
      </x:c>
      <x:c r="F10" s="8" t="n">
        <x:v>124748</x:v>
      </x:c>
      <x:c r="G10" s="8" t="n">
        <x:v>168000</x:v>
      </x:c>
      <x:c r="H10" s="9" t="n">
        <x:f>F10/G10</x:f>
        <x:v>0.742547619047619</x:v>
      </x:c>
      <x:c r="I10" s="8" t="n">
        <x:v>15827996</x:v>
      </x:c>
      <x:c r="J10" s="7" t="n">
        <x:f>I10/D10</x:f>
        <x:v>0.17496180336806422</x:v>
      </x:c>
      <x:c r="K10" s="10" t="str">
        <x:f>IF(E10&gt;=95%,"达标","未达标")</x:f>
        <x:v>达标</x:v>
      </x:c>
    </x:row>
    <x:row r="11" ht="23" customHeight="1">
      <x:c r="A11" s="6" t="str">
        <x:v>被替代32期新版：正库存比例</x:v>
      </x:c>
      <x:c r="B11" s="6" t="str">
        <x:v>特征聚类DRO</x:v>
      </x:c>
      <x:c r="C11" s="8" t="n">
        <x:v>89507946</x:v>
      </x:c>
      <x:c r="D11" s="8" t="n">
        <x:v>90465437</x:v>
      </x:c>
      <x:c r="E11" s="9" t="n">
        <x:f>C11/D11</x:f>
        <x:v>0.9894159467775522</x:v>
      </x:c>
      <x:c r="F11" s="8" t="n">
        <x:v>159714</x:v>
      </x:c>
      <x:c r="G11" s="8" t="n">
        <x:v>168000</x:v>
      </x:c>
      <x:c r="H11" s="9" t="n">
        <x:f>F11/G11</x:f>
        <x:v>0.9506785714285715</x:v>
      </x:c>
      <x:c r="I11" s="8" t="n">
        <x:v>49843863</x:v>
      </x:c>
      <x:c r="J11" s="7" t="n">
        <x:f>I11/D11</x:f>
        <x:v>0.5509713394741022</x:v>
      </x:c>
      <x:c r="K11" s="10" t="str">
        <x:f>IF(AND(H11&gt;=95%,H11&lt;=95.5%),"达标","未达标")</x:f>
        <x:v>达标</x:v>
      </x:c>
    </x:row>
    <x:row r="12" ht="23" customHeight="1">
      <x:c r="A12" s="6" t="str">
        <x:v>被替代32期新版：正库存比例</x:v>
      </x:c>
      <x:c r="B12" s="6" t="str">
        <x:v>不分组DRO</x:v>
      </x:c>
      <x:c r="C12" s="8" t="n">
        <x:v>89538876</x:v>
      </x:c>
      <x:c r="D12" s="8" t="n">
        <x:v>90465437</x:v>
      </x:c>
      <x:c r="E12" s="9" t="n">
        <x:f>C12/D12</x:f>
        <x:v>0.989757845308369</x:v>
      </x:c>
      <x:c r="F12" s="8" t="n">
        <x:v>159759</x:v>
      </x:c>
      <x:c r="G12" s="8" t="n">
        <x:v>168000</x:v>
      </x:c>
      <x:c r="H12" s="9" t="n">
        <x:f>F12/G12</x:f>
        <x:v>0.9509464285714285</x:v>
      </x:c>
      <x:c r="I12" s="8" t="n">
        <x:v>53749006</x:v>
      </x:c>
      <x:c r="J12" s="7" t="n">
        <x:f>I12/D12</x:f>
        <x:v>0.5941385769241351</x:v>
      </x:c>
      <x:c r="K12" s="10" t="str">
        <x:f>IF(AND(H12&gt;=95%,H12&lt;=95.5%),"达标","未达标")</x:f>
        <x:v>达标</x:v>
      </x:c>
    </x:row>
    <x:row r="13" ht="23" customHeight="1">
      <x:c r="A13" s="6" t="str">
        <x:v>被替代32期新版：正库存比例</x:v>
      </x:c>
      <x:c r="B13" s="6" t="str">
        <x:v>爆品/长尾DRO</x:v>
      </x:c>
      <x:c r="C13" s="8" t="n">
        <x:v>89513461</x:v>
      </x:c>
      <x:c r="D13" s="8" t="n">
        <x:v>90465437</x:v>
      </x:c>
      <x:c r="E13" s="9" t="n">
        <x:f>C13/D13</x:f>
        <x:v>0.9894769092863609</x:v>
      </x:c>
      <x:c r="F13" s="8" t="n">
        <x:v>159836</x:v>
      </x:c>
      <x:c r="G13" s="8" t="n">
        <x:v>168000</x:v>
      </x:c>
      <x:c r="H13" s="9" t="n">
        <x:f>F13/G13</x:f>
        <x:v>0.9514047619047619</x:v>
      </x:c>
      <x:c r="I13" s="8" t="n">
        <x:v>50275824</x:v>
      </x:c>
      <x:c r="J13" s="7" t="n">
        <x:f>I13/D13</x:f>
        <x:v>0.5557462127773727</x:v>
      </x:c>
      <x:c r="K13" s="10" t="str">
        <x:f>IF(AND(H13&gt;=95%,H13&lt;=95.5%),"达标","未达标")</x:f>
        <x:v>达标</x:v>
      </x:c>
    </x:row>
    <x:row r="14" ht="23" customHeight="1">
      <x:c r="A14" s="6" t="str">
        <x:v>被替代32期新版：正库存比例</x:v>
      </x:c>
      <x:c r="B14" s="6" t="str">
        <x:v>传统(s,S)</x:v>
      </x:c>
      <x:c r="C14" s="8" t="n">
        <x:v>89468140</x:v>
      </x:c>
      <x:c r="D14" s="8" t="n">
        <x:v>90465437</x:v>
      </x:c>
      <x:c r="E14" s="9" t="n">
        <x:f>C14/D14</x:f>
        <x:v>0.9889759334274812</x:v>
      </x:c>
      <x:c r="F14" s="8" t="n">
        <x:v>159980</x:v>
      </x:c>
      <x:c r="G14" s="8" t="n">
        <x:v>168000</x:v>
      </x:c>
      <x:c r="H14" s="9" t="n">
        <x:f>F14/G14</x:f>
        <x:v>0.9522619047619048</x:v>
      </x:c>
      <x:c r="I14" s="8" t="n">
        <x:v>46670615</x:v>
      </x:c>
      <x:c r="J14" s="7" t="n">
        <x:f>I14/D14</x:f>
        <x:v>0.515894429383014</x:v>
      </x:c>
      <x:c r="K14" s="10" t="str">
        <x:f>IF(AND(H14&gt;=95%,H14&lt;=95.5%),"达标","未达标")</x:f>
        <x:v>达标</x:v>
      </x:c>
    </x:row>
    <x:row r="15" ht="23" customHeight="1">
      <x:c r="A15" s="6" t="str">
        <x:v>被替代32期新版：正库存比例</x:v>
      </x:c>
      <x:c r="B15" s="6" t="str">
        <x:v>零半径经验模型</x:v>
      </x:c>
      <x:c r="C15" s="8" t="n">
        <x:v>89494149</x:v>
      </x:c>
      <x:c r="D15" s="8" t="n">
        <x:v>90465437</x:v>
      </x:c>
      <x:c r="E15" s="9" t="n">
        <x:f>C15/D15</x:f>
        <x:v>0.9892634354930492</x:v>
      </x:c>
      <x:c r="F15" s="8" t="n">
        <x:v>160176</x:v>
      </x:c>
      <x:c r="G15" s="8" t="n">
        <x:v>168000</x:v>
      </x:c>
      <x:c r="H15" s="9" t="n">
        <x:f>F15/G15</x:f>
        <x:v>0.9534285714285714</x:v>
      </x:c>
      <x:c r="I15" s="8" t="n">
        <x:v>48238269</x:v>
      </x:c>
      <x:c r="J15" s="7" t="n">
        <x:f>I15/D15</x:f>
        <x:v>0.5332231910845686</x:v>
      </x:c>
      <x:c r="K15" s="10" t="str">
        <x:f>IF(AND(H15&gt;=95%,H15&lt;=95.5%),"达标","未达标")</x:f>
        <x:v>达标</x:v>
      </x:c>
    </x:row>
    <x:row r="16" ht="23" customHeight="1">
      <x:c r="A16" s="6" t="str">
        <x:v>被替代32期新版：正库存比例</x:v>
      </x:c>
      <x:c r="B16" s="6" t="str">
        <x:v>传统区间RO</x:v>
      </x:c>
      <x:c r="C16" s="8" t="n">
        <x:v>89534666</x:v>
      </x:c>
      <x:c r="D16" s="8" t="n">
        <x:v>90465437</x:v>
      </x:c>
      <x:c r="E16" s="9" t="n">
        <x:f>C16/D16</x:f>
        <x:v>0.9897113081982901</x:v>
      </x:c>
      <x:c r="F16" s="8" t="n">
        <x:v>159613</x:v>
      </x:c>
      <x:c r="G16" s="8" t="n">
        <x:v>168000</x:v>
      </x:c>
      <x:c r="H16" s="9" t="n">
        <x:f>F16/G16</x:f>
        <x:v>0.9500773809523809</x:v>
      </x:c>
      <x:c r="I16" s="8" t="n">
        <x:v>53313645</x:v>
      </x:c>
      <x:c r="J16" s="7" t="n">
        <x:f>I16/D16</x:f>
        <x:v>0.5893261202065492</x:v>
      </x:c>
      <x:c r="K16" s="10" t="str">
        <x:f>IF(AND(H16&gt;=95%,H16&lt;=95.5%),"达标","未达标")</x:f>
        <x:v>达标</x:v>
      </x:c>
    </x:row>
    <x:row r="17" ht="23" customHeight="1">
      <x:c r="A17" s="6" t="str">
        <x:v>上次60期：一次32/28划分</x:v>
      </x:c>
      <x:c r="B17" s="6" t="str">
        <x:v>特征聚类DRO</x:v>
      </x:c>
      <x:c r="C17" s="8" t="n">
        <x:v>88185310</x:v>
      </x:c>
      <x:c r="D17" s="8" t="n">
        <x:v>90465437</x:v>
      </x:c>
      <x:c r="E17" s="9" t="n">
        <x:f>C17/D17</x:f>
        <x:v>0.9747956006668049</x:v>
      </x:c>
      <x:c r="F17" s="8" t="n">
        <x:v>142935</x:v>
      </x:c>
      <x:c r="G17" s="8" t="n">
        <x:v>168000</x:v>
      </x:c>
      <x:c r="H17" s="9" t="n">
        <x:f>F17/G17</x:f>
        <x:v>0.8508035714285714</x:v>
      </x:c>
      <x:c r="I17" s="8" t="n">
        <x:v>19611691</x:v>
      </x:c>
      <x:c r="J17" s="7" t="n">
        <x:f>I17/D17</x:f>
        <x:v>0.216786561258749</x:v>
      </x:c>
      <x:c r="K17" s="10" t="str">
        <x:f>IF(AND(H17&gt;=95%,H17&lt;=95.5%),"达标","未达标")</x:f>
        <x:v>未达标</x:v>
      </x:c>
    </x:row>
    <x:row r="18" ht="23" customHeight="1">
      <x:c r="A18" s="6" t="str">
        <x:v>上次60期：一次32/28划分</x:v>
      </x:c>
      <x:c r="B18" s="6" t="str">
        <x:v>不分组DRO</x:v>
      </x:c>
      <x:c r="C18" s="8" t="n">
        <x:v>89200863</x:v>
      </x:c>
      <x:c r="D18" s="8" t="n">
        <x:v>90465437</x:v>
      </x:c>
      <x:c r="E18" s="9" t="n">
        <x:f>C18/D18</x:f>
        <x:v>0.9860214680663069</x:v>
      </x:c>
      <x:c r="F18" s="8" t="n">
        <x:v>149784</x:v>
      </x:c>
      <x:c r="G18" s="8" t="n">
        <x:v>168000</x:v>
      </x:c>
      <x:c r="H18" s="9" t="n">
        <x:f>F18/G18</x:f>
        <x:v>0.8915714285714286</x:v>
      </x:c>
      <x:c r="I18" s="8" t="n">
        <x:v>30393902</x:v>
      </x:c>
      <x:c r="J18" s="7" t="n">
        <x:f>I18/D18</x:f>
        <x:v>0.3359725328027764</x:v>
      </x:c>
      <x:c r="K18" s="10" t="str">
        <x:f>IF(AND(H18&gt;=95%,H18&lt;=95.5%),"达标","未达标")</x:f>
        <x:v>未达标</x:v>
      </x:c>
    </x:row>
    <x:row r="19" ht="23" customHeight="1">
      <x:c r="A19" s="6" t="str">
        <x:v>上次60期：一次32/28划分</x:v>
      </x:c>
      <x:c r="B19" s="6" t="str">
        <x:v>爆品/长尾DRO</x:v>
      </x:c>
      <x:c r="C19" s="8" t="n">
        <x:v>87712497</x:v>
      </x:c>
      <x:c r="D19" s="8" t="n">
        <x:v>90465437</x:v>
      </x:c>
      <x:c r="E19" s="9" t="n">
        <x:f>C19/D19</x:f>
        <x:v>0.9695691515865889</x:v>
      </x:c>
      <x:c r="F19" s="8" t="n">
        <x:v>142830</x:v>
      </x:c>
      <x:c r="G19" s="8" t="n">
        <x:v>168000</x:v>
      </x:c>
      <x:c r="H19" s="9" t="n">
        <x:f>F19/G19</x:f>
        <x:v>0.8501785714285715</x:v>
      </x:c>
      <x:c r="I19" s="8" t="n">
        <x:v>17126691</x:v>
      </x:c>
      <x:c r="J19" s="7" t="n">
        <x:f>I19/D19</x:f>
        <x:v>0.18931750697230368</x:v>
      </x:c>
      <x:c r="K19" s="10" t="str">
        <x:f>IF(AND(H19&gt;=95%,H19&lt;=95.5%),"达标","未达标")</x:f>
        <x:v>未达标</x:v>
      </x:c>
    </x:row>
    <x:row r="20" ht="23" customHeight="1">
      <x:c r="A20" s="6" t="str">
        <x:v>上次60期：一次32/28划分</x:v>
      </x:c>
      <x:c r="B20" s="6" t="str">
        <x:v>传统(s,S)</x:v>
      </x:c>
      <x:c r="C20" s="8" t="n">
        <x:v>86596205</x:v>
      </x:c>
      <x:c r="D20" s="8" t="n">
        <x:v>90465437</x:v>
      </x:c>
      <x:c r="E20" s="9" t="n">
        <x:f>C20/D20</x:f>
        <x:v>0.9572297207827559</x:v>
      </x:c>
      <x:c r="F20" s="8" t="n">
        <x:v>134035</x:v>
      </x:c>
      <x:c r="G20" s="8" t="n">
        <x:v>168000</x:v>
      </x:c>
      <x:c r="H20" s="9" t="n">
        <x:f>F20/G20</x:f>
        <x:v>0.7978273809523809</x:v>
      </x:c>
      <x:c r="I20" s="8" t="n">
        <x:v>14002988</x:v>
      </x:c>
      <x:c r="J20" s="7" t="n">
        <x:f>I20/D20</x:f>
        <x:v>0.15478826460540945</x:v>
      </x:c>
      <x:c r="K20" s="10" t="str">
        <x:f>IF(AND(H20&gt;=95%,H20&lt;=95.5%),"达标","未达标")</x:f>
        <x:v>未达标</x:v>
      </x:c>
    </x:row>
    <x:row r="21" ht="23" customHeight="1">
      <x:c r="A21" s="6" t="str">
        <x:v>上次60期：一次32/28划分</x:v>
      </x:c>
      <x:c r="B21" s="6" t="str">
        <x:v>零半径经验模型</x:v>
      </x:c>
      <x:c r="C21" s="8" t="n">
        <x:v>88754041</x:v>
      </x:c>
      <x:c r="D21" s="8" t="n">
        <x:v>90465437</x:v>
      </x:c>
      <x:c r="E21" s="9" t="n">
        <x:f>C21/D21</x:f>
        <x:v>0.9810823220806417</x:v>
      </x:c>
      <x:c r="F21" s="8" t="n">
        <x:v>146112</x:v>
      </x:c>
      <x:c r="G21" s="8" t="n">
        <x:v>168000</x:v>
      </x:c>
      <x:c r="H21" s="9" t="n">
        <x:f>F21/G21</x:f>
        <x:v>0.8697142857142857</x:v>
      </x:c>
      <x:c r="I21" s="8" t="n">
        <x:v>23850076</x:v>
      </x:c>
      <x:c r="J21" s="7" t="n">
        <x:f>I21/D21</x:f>
        <x:v>0.26363743757740316</x:v>
      </x:c>
      <x:c r="K21" s="10" t="str">
        <x:f>IF(AND(H21&gt;=95%,H21&lt;=95.5%),"达标","未达标")</x:f>
        <x:v>未达标</x:v>
      </x:c>
    </x:row>
    <x:row r="22" ht="23" customHeight="1">
      <x:c r="A22" s="6" t="str">
        <x:v>上次60期：一次32/28划分</x:v>
      </x:c>
      <x:c r="B22" s="6" t="str">
        <x:v>传统区间RO</x:v>
      </x:c>
      <x:c r="C22" s="8" t="n">
        <x:v>88935230</x:v>
      </x:c>
      <x:c r="D22" s="8" t="n">
        <x:v>90465437</x:v>
      </x:c>
      <x:c r="E22" s="9" t="n">
        <x:f>C22/D22</x:f>
        <x:v>0.9830851753913487</x:v>
      </x:c>
      <x:c r="F22" s="8" t="n">
        <x:v>144707</x:v>
      </x:c>
      <x:c r="G22" s="8" t="n">
        <x:v>168000</x:v>
      </x:c>
      <x:c r="H22" s="9" t="n">
        <x:f>F22/G22</x:f>
        <x:v>0.8613511904761905</x:v>
      </x:c>
      <x:c r="I22" s="8" t="n">
        <x:v>26037694</x:v>
      </x:c>
      <x:c r="J22" s="7" t="n">
        <x:f>I22/D22</x:f>
        <x:v>0.28781924747680154</x:v>
      </x:c>
      <x:c r="K22" s="10" t="str">
        <x:f>IF(AND(H22&gt;=95%,H22&lt;=95.5%),"达标","未达标")</x:f>
        <x:v>未达标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>
      <x:c r="A2" s="1" t="str">
        <x:v>按商品类别核对服务与库存</x:v>
      </x:c>
    </x:row>
    <x:row r="4" ht="38" customHeight="1">
      <x:c r="A4" s="5" t="str">
        <x:v>约束</x:v>
      </x:c>
      <x:c r="B4" s="5" t="str">
        <x:v>方法</x:v>
      </x:c>
      <x:c r="C4" s="5" t="str">
        <x:v>类别</x:v>
      </x:c>
      <x:c r="D4" s="5" t="str">
        <x:v>SKU数</x:v>
      </x:c>
      <x:c r="E4" s="5" t="str">
        <x:v>需求满足率</x:v>
      </x:c>
      <x:c r="F4" s="5" t="str">
        <x:v>正库存比例</x:v>
      </x:c>
      <x:c r="G4" s="5" t="str">
        <x:v>累计期末库存</x:v>
      </x:c>
      <x:c r="H4" s="5" t="str">
        <x:v>累计需求</x:v>
      </x:c>
      <x:c r="I4" s="5" t="str">
        <x:v>库存需求比</x:v>
      </x:c>
    </x:row>
    <x:row r="5" ht="23" customHeight="1">
      <x:c r="A5" s="6" t="str">
        <x:v>fill</x:v>
      </x:c>
      <x:c r="B5" s="6" t="str">
        <x:v>爆品/长尾DRO</x:v>
      </x:c>
      <x:c r="C5" s="7" t="str">
        <x:v>爆品</x:v>
      </x:c>
      <x:c r="D5" s="8" t="n">
        <x:v>480</x:v>
      </x:c>
      <x:c r="E5" s="9" t="n">
        <x:v>0.9133472162354729</x:v>
      </x:c>
      <x:c r="F5" s="9" t="n">
        <x:v>0.4478422619047619</x:v>
      </x:c>
      <x:c r="G5" s="8" t="n">
        <x:v>3864754</x:v>
      </x:c>
      <x:c r="H5" s="8" t="n">
        <x:v>72368154</x:v>
      </x:c>
      <x:c r="I5" s="7" t="n">
        <x:v>0.05340407052527552</x:v>
      </x:c>
    </x:row>
    <x:row r="6" ht="23" customHeight="1">
      <x:c r="A6" s="6" t="str">
        <x:v>fill</x:v>
      </x:c>
      <x:c r="B6" s="6" t="str">
        <x:v>爆品/长尾DRO</x:v>
      </x:c>
      <x:c r="C6" s="7" t="str">
        <x:v>长尾品</x:v>
      </x:c>
      <x:c r="D6" s="8" t="n">
        <x:v>5520</x:v>
      </x:c>
      <x:c r="E6" s="9" t="n">
        <x:v>0.9132530557211268</x:v>
      </x:c>
      <x:c r="F6" s="9" t="n">
        <x:v>0.5402691511387163</x:v>
      </x:c>
      <x:c r="G6" s="8" t="n">
        <x:v>2604597</x:v>
      </x:c>
      <x:c r="H6" s="8" t="n">
        <x:v>18097283</x:v>
      </x:c>
      <x:c r="I6" s="7" t="n">
        <x:v>0.1439219909419552</x:v>
      </x:c>
    </x:row>
    <x:row r="7" ht="23" customHeight="1">
      <x:c r="A7" s="6" t="str">
        <x:v>fill</x:v>
      </x:c>
      <x:c r="B7" s="6" t="str">
        <x:v>特征聚类DRO</x:v>
      </x:c>
      <x:c r="C7" s="7" t="str">
        <x:v>爆品</x:v>
      </x:c>
      <x:c r="D7" s="8" t="n">
        <x:v>480</x:v>
      </x:c>
      <x:c r="E7" s="9" t="n">
        <x:v>0.9129990658598256</x:v>
      </x:c>
      <x:c r="F7" s="9" t="n">
        <x:v>0.4472470238095238</x:v>
      </x:c>
      <x:c r="G7" s="8" t="n">
        <x:v>3877835</x:v>
      </x:c>
      <x:c r="H7" s="8" t="n">
        <x:v>72368154</x:v>
      </x:c>
      <x:c r="I7" s="7" t="n">
        <x:v>0.053584826828662786</x:v>
      </x:c>
    </x:row>
    <x:row r="8" ht="23" customHeight="1">
      <x:c r="A8" s="6" t="str">
        <x:v>fill</x:v>
      </x:c>
      <x:c r="B8" s="6" t="str">
        <x:v>特征聚类DRO</x:v>
      </x:c>
      <x:c r="C8" s="7" t="str">
        <x:v>长尾品</x:v>
      </x:c>
      <x:c r="D8" s="8" t="n">
        <x:v>5520</x:v>
      </x:c>
      <x:c r="E8" s="9" t="n">
        <x:v>0.9124134269215992</x:v>
      </x:c>
      <x:c r="F8" s="9" t="n">
        <x:v>0.5391433747412008</x:v>
      </x:c>
      <x:c r="G8" s="8" t="n">
        <x:v>2613481</x:v>
      </x:c>
      <x:c r="H8" s="8" t="n">
        <x:v>18097283</x:v>
      </x:c>
      <x:c r="I8" s="7" t="n">
        <x:v>0.14441289336084318</x:v>
      </x:c>
    </x:row>
    <x:row r="9" ht="23" customHeight="1">
      <x:c r="A9" s="6" t="str">
        <x:v>fill</x:v>
      </x:c>
      <x:c r="B9" s="6" t="str">
        <x:v>不分组DRO</x:v>
      </x:c>
      <x:c r="C9" s="7" t="str">
        <x:v>爆品</x:v>
      </x:c>
      <x:c r="D9" s="8" t="n">
        <x:v>480</x:v>
      </x:c>
      <x:c r="E9" s="9" t="n">
        <x:v>0.9055079945800469</x:v>
      </x:c>
      <x:c r="F9" s="9" t="n">
        <x:v>0.41450892857142857</x:v>
      </x:c>
      <x:c r="G9" s="8" t="n">
        <x:v>3407402</x:v>
      </x:c>
      <x:c r="H9" s="8" t="n">
        <x:v>72368154</x:v>
      </x:c>
      <x:c r="I9" s="7" t="n">
        <x:v>0.047084274113168616</x:v>
      </x:c>
    </x:row>
    <x:row r="10" ht="23" customHeight="1">
      <x:c r="A10" s="6" t="str">
        <x:v>fill</x:v>
      </x:c>
      <x:c r="B10" s="6" t="str">
        <x:v>不分组DRO</x:v>
      </x:c>
      <x:c r="C10" s="7" t="str">
        <x:v>长尾品</x:v>
      </x:c>
      <x:c r="D10" s="8" t="n">
        <x:v>5520</x:v>
      </x:c>
      <x:c r="E10" s="9" t="n">
        <x:v>0.8962261904176445</x:v>
      </x:c>
      <x:c r="F10" s="9" t="n">
        <x:v>0.4875905797101449</x:v>
      </x:c>
      <x:c r="G10" s="8" t="n">
        <x:v>2314899</x:v>
      </x:c>
      <x:c r="H10" s="8" t="n">
        <x:v>18097283</x:v>
      </x:c>
      <x:c r="I10" s="7" t="n">
        <x:v>0.12791417363589883</x:v>
      </x:c>
    </x:row>
    <x:row r="11" ht="23" customHeight="1">
      <x:c r="A11" s="6" t="str">
        <x:v>fill</x:v>
      </x:c>
      <x:c r="B11" s="6" t="str">
        <x:v>传统区间RO</x:v>
      </x:c>
      <x:c r="C11" s="7" t="str">
        <x:v>爆品</x:v>
      </x:c>
      <x:c r="D11" s="8" t="n">
        <x:v>480</x:v>
      </x:c>
      <x:c r="E11" s="9" t="n">
        <x:v>0.9276598515971541</x:v>
      </x:c>
      <x:c r="F11" s="9" t="n">
        <x:v>0.5171130952380952</x:v>
      </x:c>
      <x:c r="G11" s="8" t="n">
        <x:v>4924326</x:v>
      </x:c>
      <x:c r="H11" s="8" t="n">
        <x:v>72368154</x:v>
      </x:c>
      <x:c r="I11" s="7" t="n">
        <x:v>0.06804548310020454</x:v>
      </x:c>
    </x:row>
    <x:row r="12" ht="23" customHeight="1">
      <x:c r="A12" s="6" t="str">
        <x:v>fill</x:v>
      </x:c>
      <x:c r="B12" s="6" t="str">
        <x:v>传统区间RO</x:v>
      </x:c>
      <x:c r="C12" s="7" t="str">
        <x:v>长尾品</x:v>
      </x:c>
      <x:c r="D12" s="8" t="n">
        <x:v>5520</x:v>
      </x:c>
      <x:c r="E12" s="9" t="n">
        <x:v>0.9176105606570887</x:v>
      </x:c>
      <x:c r="F12" s="9" t="n">
        <x:v>0.5549560041407867</x:v>
      </x:c>
      <x:c r="G12" s="8" t="n">
        <x:v>2692663</x:v>
      </x:c>
      <x:c r="H12" s="8" t="n">
        <x:v>18097283</x:v>
      </x:c>
      <x:c r="I12" s="7" t="n">
        <x:v>0.1487882462798421</x:v>
      </x:c>
    </x:row>
    <x:row r="13" ht="23" customHeight="1">
      <x:c r="A13" s="6" t="str">
        <x:v>fill</x:v>
      </x:c>
      <x:c r="B13" s="6" t="str">
        <x:v>零半径经验模型</x:v>
      </x:c>
      <x:c r="C13" s="7" t="str">
        <x:v>爆品</x:v>
      </x:c>
      <x:c r="D13" s="8" t="n">
        <x:v>480</x:v>
      </x:c>
      <x:c r="E13" s="9" t="n">
        <x:v>0.915077659712033</x:v>
      </x:c>
      <x:c r="F13" s="9" t="n">
        <x:v>0.4578125</x:v>
      </x:c>
      <x:c r="G13" s="8" t="n">
        <x:v>4012965</x:v>
      </x:c>
      <x:c r="H13" s="8" t="n">
        <x:v>72368154</x:v>
      </x:c>
      <x:c r="I13" s="7" t="n">
        <x:v>0.05545208462827447</x:v>
      </x:c>
    </x:row>
    <x:row r="14" ht="23" customHeight="1">
      <x:c r="A14" s="6" t="str">
        <x:v>fill</x:v>
      </x:c>
      <x:c r="B14" s="6" t="str">
        <x:v>零半径经验模型</x:v>
      </x:c>
      <x:c r="C14" s="7" t="str">
        <x:v>长尾品</x:v>
      </x:c>
      <x:c r="D14" s="8" t="n">
        <x:v>5520</x:v>
      </x:c>
      <x:c r="E14" s="9" t="n">
        <x:v>0.9115973375671917</x:v>
      </x:c>
      <x:c r="F14" s="9" t="n">
        <x:v>0.537111801242236</x:v>
      </x:c>
      <x:c r="G14" s="8" t="n">
        <x:v>2606980</x:v>
      </x:c>
      <x:c r="H14" s="8" t="n">
        <x:v>18097283</x:v>
      </x:c>
      <x:c r="I14" s="7" t="n">
        <x:v>0.1440536681666524</x:v>
      </x:c>
    </x:row>
    <x:row r="15" ht="23" customHeight="1">
      <x:c r="A15" s="6" t="str">
        <x:v>fill</x:v>
      </x:c>
      <x:c r="B15" s="6" t="str">
        <x:v>传统(s,S)</x:v>
      </x:c>
      <x:c r="C15" s="7" t="str">
        <x:v>爆品</x:v>
      </x:c>
      <x:c r="D15" s="8" t="n">
        <x:v>480</x:v>
      </x:c>
      <x:c r="E15" s="9" t="n">
        <x:v>0.9147964448561172</x:v>
      </x:c>
      <x:c r="F15" s="9" t="n">
        <x:v>0.45714285714285713</x:v>
      </x:c>
      <x:c r="G15" s="8" t="n">
        <x:v>4073147</x:v>
      </x:c>
      <x:c r="H15" s="8" t="n">
        <x:v>72368154</x:v>
      </x:c>
      <x:c r="I15" s="7" t="n">
        <x:v>0.05628369351524429</x:v>
      </x:c>
    </x:row>
    <x:row r="16" ht="23" customHeight="1">
      <x:c r="A16" s="6" t="str">
        <x:v>fill</x:v>
      </x:c>
      <x:c r="B16" s="6" t="str">
        <x:v>传统(s,S)</x:v>
      </x:c>
      <x:c r="C16" s="7" t="str">
        <x:v>长尾品</x:v>
      </x:c>
      <x:c r="D16" s="8" t="n">
        <x:v>5520</x:v>
      </x:c>
      <x:c r="E16" s="9" t="n">
        <x:v>0.9152216937758005</x:v>
      </x:c>
      <x:c r="F16" s="9" t="n">
        <x:v>0.5488483436853002</x:v>
      </x:c>
      <x:c r="G16" s="8" t="n">
        <x:v>2674074</x:v>
      </x:c>
      <x:c r="H16" s="8" t="n">
        <x:v>18097283</x:v>
      </x:c>
      <x:c r="I16" s="7" t="n">
        <x:v>0.1477610755161424</x:v>
      </x:c>
    </x:row>
    <x:row r="17" ht="23" customHeight="1">
      <x:c r="A17" s="6" t="str">
        <x:v>positive</x:v>
      </x:c>
      <x:c r="B17" s="6" t="str">
        <x:v>爆品/长尾DRO</x:v>
      </x:c>
      <x:c r="C17" s="7" t="str">
        <x:v>爆品</x:v>
      </x:c>
      <x:c r="D17" s="8" t="n">
        <x:v>480</x:v>
      </x:c>
      <x:c r="E17" s="9" t="n">
        <x:v>0.9526641649585258</x:v>
      </x:c>
      <x:c r="F17" s="9" t="n">
        <x:v>0.6600446428571428</x:v>
      </x:c>
      <x:c r="G17" s="8" t="n">
        <x:v>7940705</x:v>
      </x:c>
      <x:c r="H17" s="8" t="n">
        <x:v>72368154</x:v>
      </x:c>
      <x:c r="I17" s="7" t="n">
        <x:v>0.10972651036531898</x:v>
      </x:c>
    </x:row>
    <x:row r="18" ht="23" customHeight="1">
      <x:c r="A18" s="6" t="str">
        <x:v>positive</x:v>
      </x:c>
      <x:c r="B18" s="6" t="str">
        <x:v>爆品/长尾DRO</x:v>
      </x:c>
      <x:c r="C18" s="7" t="str">
        <x:v>长尾品</x:v>
      </x:c>
      <x:c r="D18" s="8" t="n">
        <x:v>5520</x:v>
      </x:c>
      <x:c r="E18" s="9" t="n">
        <x:v>0.9756744147726485</x:v>
      </x:c>
      <x:c r="F18" s="9" t="n">
        <x:v>0.8162590579710145</x:v>
      </x:c>
      <x:c r="G18" s="8" t="n">
        <x:v>5297273</x:v>
      </x:c>
      <x:c r="H18" s="8" t="n">
        <x:v>18097283</x:v>
      </x:c>
      <x:c r="I18" s="7" t="n">
        <x:v>0.29271095556167187</x:v>
      </x:c>
    </x:row>
    <x:row r="19" ht="23" customHeight="1">
      <x:c r="A19" s="6" t="str">
        <x:v>positive</x:v>
      </x:c>
      <x:c r="B19" s="6" t="str">
        <x:v>特征聚类DRO</x:v>
      </x:c>
      <x:c r="C19" s="7" t="str">
        <x:v>爆品</x:v>
      </x:c>
      <x:c r="D19" s="8" t="n">
        <x:v>480</x:v>
      </x:c>
      <x:c r="E19" s="9" t="n">
        <x:v>0.9763455345289034</x:v>
      </x:c>
      <x:c r="F19" s="9" t="n">
        <x:v>0.8250744047619047</x:v>
      </x:c>
      <x:c r="G19" s="8" t="n">
        <x:v>14897444</x:v>
      </x:c>
      <x:c r="H19" s="8" t="n">
        <x:v>72368154</x:v>
      </x:c>
      <x:c r="I19" s="7" t="n">
        <x:v>0.20585634946553977</x:v>
      </x:c>
    </x:row>
    <x:row r="20" ht="23" customHeight="1">
      <x:c r="A20" s="6" t="str">
        <x:v>positive</x:v>
      </x:c>
      <x:c r="B20" s="6" t="str">
        <x:v>特征聚类DRO</x:v>
      </x:c>
      <x:c r="C20" s="7" t="str">
        <x:v>长尾品</x:v>
      </x:c>
      <x:c r="D20" s="8" t="n">
        <x:v>5520</x:v>
      </x:c>
      <x:c r="E20" s="9" t="n">
        <x:v>0.9782929846430539</x:v>
      </x:c>
      <x:c r="F20" s="9" t="n">
        <x:v>0.8325569358178054</x:v>
      </x:c>
      <x:c r="G20" s="8" t="n">
        <x:v>5645467</x:v>
      </x:c>
      <x:c r="H20" s="8" t="n">
        <x:v>18097283</x:v>
      </x:c>
      <x:c r="I20" s="7" t="n">
        <x:v>0.3119510812755705</x:v>
      </x:c>
    </x:row>
    <x:row r="21" ht="23" customHeight="1">
      <x:c r="A21" s="6" t="str">
        <x:v>positive</x:v>
      </x:c>
      <x:c r="B21" s="6" t="str">
        <x:v>不分组DRO</x:v>
      </x:c>
      <x:c r="C21" s="7" t="str">
        <x:v>爆品</x:v>
      </x:c>
      <x:c r="D21" s="8" t="n">
        <x:v>480</x:v>
      </x:c>
      <x:c r="E21" s="9" t="n">
        <x:v>0.9759574080057369</x:v>
      </x:c>
      <x:c r="F21" s="9" t="n">
        <x:v>0.8214285714285714</x:v>
      </x:c>
      <x:c r="G21" s="8" t="n">
        <x:v>14631857</x:v>
      </x:c>
      <x:c r="H21" s="8" t="n">
        <x:v>72368154</x:v>
      </x:c>
      <x:c r="I21" s="7" t="n">
        <x:v>0.2021864064682374</x:v>
      </x:c>
    </x:row>
    <x:row r="22" ht="23" customHeight="1">
      <x:c r="A22" s="6" t="str">
        <x:v>positive</x:v>
      </x:c>
      <x:c r="B22" s="6" t="str">
        <x:v>不分组DRO</x:v>
      </x:c>
      <x:c r="C22" s="7" t="str">
        <x:v>长尾品</x:v>
      </x:c>
      <x:c r="D22" s="8" t="n">
        <x:v>5520</x:v>
      </x:c>
      <x:c r="E22" s="9" t="n">
        <x:v>0.971993585998517</x:v>
      </x:c>
      <x:c r="F22" s="9" t="n">
        <x:v>0.7943905279503105</x:v>
      </x:c>
      <x:c r="G22" s="8" t="n">
        <x:v>4949327</x:v>
      </x:c>
      <x:c r="H22" s="8" t="n">
        <x:v>18097283</x:v>
      </x:c>
      <x:c r="I22" s="7" t="n">
        <x:v>0.27348453356230323</x:v>
      </x:c>
    </x:row>
    <x:row r="23" ht="23" customHeight="1">
      <x:c r="A23" s="6" t="str">
        <x:v>positive</x:v>
      </x:c>
      <x:c r="B23" s="6" t="str">
        <x:v>传统区间RO</x:v>
      </x:c>
      <x:c r="C23" s="7" t="str">
        <x:v>爆品</x:v>
      </x:c>
      <x:c r="D23" s="8" t="n">
        <x:v>480</x:v>
      </x:c>
      <x:c r="E23" s="9" t="n">
        <x:v>0.9794276637207023</x:v>
      </x:c>
      <x:c r="F23" s="9" t="n">
        <x:v>0.8508928571428571</x:v>
      </x:c>
      <x:c r="G23" s="8" t="n">
        <x:v>16658190</x:v>
      </x:c>
      <x:c r="H23" s="8" t="n">
        <x:v>72368154</x:v>
      </x:c>
      <x:c r="I23" s="7" t="n">
        <x:v>0.230186747612769</x:v>
      </x:c>
    </x:row>
    <x:row r="24" ht="23" customHeight="1">
      <x:c r="A24" s="6" t="str">
        <x:v>positive</x:v>
      </x:c>
      <x:c r="B24" s="6" t="str">
        <x:v>传统区间RO</x:v>
      </x:c>
      <x:c r="C24" s="7" t="str">
        <x:v>长尾品</x:v>
      </x:c>
      <x:c r="D24" s="8" t="n">
        <x:v>5520</x:v>
      </x:c>
      <x:c r="E24" s="9" t="n">
        <x:v>0.9768463586495276</x:v>
      </x:c>
      <x:c r="F24" s="9" t="n">
        <x:v>0.8232595755693581</x:v>
      </x:c>
      <x:c r="G24" s="8" t="n">
        <x:v>5421285</x:v>
      </x:c>
      <x:c r="H24" s="8" t="n">
        <x:v>18097283</x:v>
      </x:c>
      <x:c r="I24" s="7" t="n">
        <x:v>0.29956347590961585</x:v>
      </x:c>
    </x:row>
    <x:row r="25" ht="23" customHeight="1">
      <x:c r="A25" s="6" t="str">
        <x:v>positive</x:v>
      </x:c>
      <x:c r="B25" s="6" t="str">
        <x:v>零半径经验模型</x:v>
      </x:c>
      <x:c r="C25" s="7" t="str">
        <x:v>爆品</x:v>
      </x:c>
      <x:c r="D25" s="8" t="n">
        <x:v>480</x:v>
      </x:c>
      <x:c r="E25" s="9" t="n">
        <x:v>0.9690929659474249</x:v>
      </x:c>
      <x:c r="F25" s="9" t="n">
        <x:v>0.7693452380952381</x:v>
      </x:c>
      <x:c r="G25" s="8" t="n">
        <x:v>11935722</x:v>
      </x:c>
      <x:c r="H25" s="8" t="n">
        <x:v>72368154</x:v>
      </x:c>
      <x:c r="I25" s="7" t="n">
        <x:v>0.16493058535112004</x:v>
      </x:c>
    </x:row>
    <x:row r="26" ht="23" customHeight="1">
      <x:c r="A26" s="6" t="str">
        <x:v>positive</x:v>
      </x:c>
      <x:c r="B26" s="6" t="str">
        <x:v>零半径经验模型</x:v>
      </x:c>
      <x:c r="C26" s="7" t="str">
        <x:v>长尾品</x:v>
      </x:c>
      <x:c r="D26" s="8" t="n">
        <x:v>5520</x:v>
      </x:c>
      <x:c r="E26" s="9" t="n">
        <x:v>0.975547489642506</x:v>
      </x:c>
      <x:c r="F26" s="9" t="n">
        <x:v>0.8160714285714286</x:v>
      </x:c>
      <x:c r="G26" s="8" t="n">
        <x:v>5352603</x:v>
      </x:c>
      <x:c r="H26" s="8" t="n">
        <x:v>18097283</x:v>
      </x:c>
      <x:c r="I26" s="7" t="n">
        <x:v>0.29576832058160335</x:v>
      </x:c>
    </x:row>
    <x:row r="27" ht="23" customHeight="1">
      <x:c r="A27" s="6" t="str">
        <x:v>positive</x:v>
      </x:c>
      <x:c r="B27" s="6" t="str">
        <x:v>传统(s,S)</x:v>
      </x:c>
      <x:c r="C27" s="7" t="str">
        <x:v>爆品</x:v>
      </x:c>
      <x:c r="D27" s="8" t="n">
        <x:v>480</x:v>
      </x:c>
      <x:c r="E27" s="9" t="n">
        <x:v>0.9747947971700369</x:v>
      </x:c>
      <x:c r="F27" s="9" t="n">
        <x:v>0.8148065476190476</x:v>
      </x:c>
      <x:c r="G27" s="8" t="n">
        <x:v>14467038</x:v>
      </x:c>
      <x:c r="H27" s="8" t="n">
        <x:v>72368154</x:v>
      </x:c>
      <x:c r="I27" s="7" t="n">
        <x:v>0.1999088991547304</x:v>
      </x:c>
    </x:row>
    <x:row r="28" ht="23" customHeight="1">
      <x:c r="A28" s="6" t="str">
        <x:v>positive</x:v>
      </x:c>
      <x:c r="B28" s="6" t="str">
        <x:v>传统(s,S)</x:v>
      </x:c>
      <x:c r="C28" s="7" t="str">
        <x:v>长尾品</x:v>
      </x:c>
      <x:c r="D28" s="8" t="n">
        <x:v>5520</x:v>
      </x:c>
      <x:c r="E28" s="9" t="n">
        <x:v>0.9780654919304738</x:v>
      </x:c>
      <x:c r="F28" s="9" t="n">
        <x:v>0.8317481884057971</x:v>
      </x:c>
      <x:c r="G28" s="8" t="n">
        <x:v>5661103</x:v>
      </x:c>
      <x:c r="H28" s="8" t="n">
        <x:v>18097283</x:v>
      </x:c>
      <x:c r="I28" s="7" t="n">
        <x:v>0.3128150783739194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2">
      <x:c r="A2" s="1" t="str">
        <x:v>相对(s,S)库存需求比差异，负值表示库存更少</x:v>
      </x:c>
    </x:row>
    <x:row r="4" ht="38" customHeight="1">
      <x:c r="A4" s="5" t="str">
        <x:v>约束</x:v>
      </x:c>
      <x:c r="B4" s="5" t="str">
        <x:v>方法</x:v>
      </x:c>
      <x:c r="C4" s="5" t="str">
        <x:v>库存比差异ΔJ</x:v>
      </x:c>
      <x:c r="D4" s="5" t="str">
        <x:v>95%下界</x:v>
      </x:c>
      <x:c r="E4" s="5" t="str">
        <x:v>95%上界</x:v>
      </x:c>
      <x:c r="F4" s="5" t="str">
        <x:v>抽样次数</x:v>
      </x:c>
    </x:row>
    <x:row r="5" ht="23" customHeight="1">
      <x:c r="A5" s="6" t="str">
        <x:v>fill</x:v>
      </x:c>
      <x:c r="B5" s="6" t="str">
        <x:v>特征聚类DRO</x:v>
      </x:c>
      <x:c r="C5" s="7" t="n">
        <x:v>-0.0028287598942345242</x:v>
      </x:c>
      <x:c r="D5" s="7" t="n">
        <x:v>-0.0035924325548985776</x:v>
      </x:c>
      <x:c r="E5" s="7" t="n">
        <x:v>-0.0020908222252993295</x:v>
      </x:c>
      <x:c r="F5" s="8" t="n">
        <x:v>1000</x:v>
      </x:c>
    </x:row>
    <x:row r="6" ht="23" customHeight="1">
      <x:c r="A6" s="6" t="str">
        <x:v>fill</x:v>
      </x:c>
      <x:c r="B6" s="6" t="str">
        <x:v>不分组DRO</x:v>
      </x:c>
      <x:c r="C6" s="7" t="n">
        <x:v>-0.011329409705941066</x:v>
      </x:c>
      <x:c r="D6" s="7" t="n">
        <x:v>-0.012314376091691934</x:v>
      </x:c>
      <x:c r="E6" s="7" t="n">
        <x:v>-0.010444438374598065</x:v>
      </x:c>
      <x:c r="F6" s="8" t="n">
        <x:v>1000</x:v>
      </x:c>
    </x:row>
    <x:row r="7" ht="23" customHeight="1">
      <x:c r="A7" s="6" t="str">
        <x:v>fill</x:v>
      </x:c>
      <x:c r="B7" s="6" t="str">
        <x:v>爆品/长尾DRO</x:v>
      </x:c>
      <x:c r="C7" s="7" t="n">
        <x:v>-0.003071559804657772</x:v>
      </x:c>
      <x:c r="D7" s="7" t="n">
        <x:v>-0.00396272588604919</x:v>
      </x:c>
      <x:c r="E7" s="7" t="n">
        <x:v>-0.0022323595945423964</x:v>
      </x:c>
      <x:c r="F7" s="8" t="n">
        <x:v>1000</x:v>
      </x:c>
    </x:row>
    <x:row r="8" ht="23" customHeight="1">
      <x:c r="A8" s="6" t="str">
        <x:v>fill</x:v>
      </x:c>
      <x:c r="B8" s="6" t="str">
        <x:v>传统(s,S)</x:v>
      </x:c>
      <x:c r="C8" s="7" t="n">
        <x:v>0</x:v>
      </x:c>
      <x:c r="D8" s="7" t="n">
        <x:v>0</x:v>
      </x:c>
      <x:c r="E8" s="7" t="n">
        <x:v>0</x:v>
      </x:c>
      <x:c r="F8" s="8" t="n">
        <x:v>1000</x:v>
      </x:c>
    </x:row>
    <x:row r="9" ht="23" customHeight="1">
      <x:c r="A9" s="6" t="str">
        <x:v>fill</x:v>
      </x:c>
      <x:c r="B9" s="6" t="str">
        <x:v>零半径经验模型</x:v>
      </x:c>
      <x:c r="C9" s="7" t="n">
        <x:v>-0.0014069019530630244</x:v>
      </x:c>
      <x:c r="D9" s="7" t="n">
        <x:v>-0.0021589080057777188</x:v>
      </x:c>
      <x:c r="E9" s="7" t="n">
        <x:v>-0.0006440060739653173</x:v>
      </x:c>
      <x:c r="F9" s="8" t="n">
        <x:v>1000</x:v>
      </x:c>
    </x:row>
    <x:row r="10" ht="23" customHeight="1">
      <x:c r="A10" s="6" t="str">
        <x:v>fill</x:v>
      </x:c>
      <x:c r="B10" s="6" t="str">
        <x:v>传统区间RO</x:v>
      </x:c>
      <x:c r="C10" s="7" t="n">
        <x:v>0.00961436797127283</x:v>
      </x:c>
      <x:c r="D10" s="7" t="n">
        <x:v>0.008649002856317378</x:v>
      </x:c>
      <x:c r="E10" s="7" t="n">
        <x:v>0.010483264545013285</x:v>
      </x:c>
      <x:c r="F10" s="8" t="n">
        <x:v>1000</x:v>
      </x:c>
    </x:row>
    <x:row r="11" ht="23" customHeight="1">
      <x:c r="A11" s="6" t="str">
        <x:v>positive</x:v>
      </x:c>
      <x:c r="B11" s="6" t="str">
        <x:v>特征聚类DRO</x:v>
      </x:c>
      <x:c r="C11" s="7" t="n">
        <x:v>0.004584844928124318</x:v>
      </x:c>
      <x:c r="D11" s="7" t="n">
        <x:v>0.0020755112808120207</x:v>
      </x:c>
      <x:c r="E11" s="7" t="n">
        <x:v>0.007204178196481858</x:v>
      </x:c>
      <x:c r="F11" s="8" t="n">
        <x:v>1000</x:v>
      </x:c>
    </x:row>
    <x:row r="12" ht="23" customHeight="1">
      <x:c r="A12" s="6" t="str">
        <x:v>positive</x:v>
      </x:c>
      <x:c r="B12" s="6" t="str">
        <x:v>不分组DRO</x:v>
      </x:c>
      <x:c r="C12" s="7" t="n">
        <x:v>-0.006046032806982406</x:v>
      </x:c>
      <x:c r="D12" s="7" t="n">
        <x:v>-0.008785808302109283</x:v>
      </x:c>
      <x:c r="E12" s="7" t="n">
        <x:v>-0.0034498833862931792</x:v>
      </x:c>
      <x:c r="F12" s="8" t="n">
        <x:v>1000</x:v>
      </x:c>
    </x:row>
    <x:row r="13" ht="23" customHeight="1">
      <x:c r="A13" s="6" t="str">
        <x:v>positive</x:v>
      </x:c>
      <x:c r="B13" s="6" t="str">
        <x:v>爆品/长尾DRO</x:v>
      </x:c>
      <x:c r="C13" s="7" t="n">
        <x:v>-0.07616348550883582</x:v>
      </x:c>
      <x:c r="D13" s="7" t="n">
        <x:v>-0.07917633507288498</x:v>
      </x:c>
      <x:c r="E13" s="7" t="n">
        <x:v>-0.07307652793717559</x:v>
      </x:c>
      <x:c r="F13" s="8" t="n">
        <x:v>1000</x:v>
      </x:c>
    </x:row>
    <x:row r="14" ht="23" customHeight="1">
      <x:c r="A14" s="6" t="str">
        <x:v>positive</x:v>
      </x:c>
      <x:c r="B14" s="6" t="str">
        <x:v>传统(s,S)</x:v>
      </x:c>
      <x:c r="C14" s="7" t="n">
        <x:v>0</x:v>
      </x:c>
      <x:c r="D14" s="7" t="n">
        <x:v>0</x:v>
      </x:c>
      <x:c r="E14" s="7" t="n">
        <x:v>0</x:v>
      </x:c>
      <x:c r="F14" s="8" t="n">
        <x:v>1000</x:v>
      </x:c>
    </x:row>
    <x:row r="15" ht="23" customHeight="1">
      <x:c r="A15" s="6" t="str">
        <x:v>positive</x:v>
      </x:c>
      <x:c r="B15" s="6" t="str">
        <x:v>零半径经验模型</x:v>
      </x:c>
      <x:c r="C15" s="7" t="n">
        <x:v>-0.031391170972843475</x:v>
      </x:c>
      <x:c r="D15" s="7" t="n">
        <x:v>-0.03404335204492245</x:v>
      </x:c>
      <x:c r="E15" s="7" t="n">
        <x:v>-0.028761347630474977</x:v>
      </x:c>
      <x:c r="F15" s="8" t="n">
        <x:v>1000</x:v>
      </x:c>
    </x:row>
    <x:row r="16" ht="23" customHeight="1">
      <x:c r="A16" s="6" t="str">
        <x:v>positive</x:v>
      </x:c>
      <x:c r="B16" s="6" t="str">
        <x:v>传统区间RO</x:v>
      </x:c>
      <x:c r="C16" s="7" t="n">
        <x:v>0.021569939467600205</x:v>
      </x:c>
      <x:c r="D16" s="7" t="n">
        <x:v>0.018872895209705278</x:v>
      </x:c>
      <x:c r="E16" s="7" t="n">
        <x:v>0.024204547666957583</x:v>
      </x:c>
      <x:c r="F16" s="8" t="n">
        <x:v>1000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2">
      <x:c r="A2" s="1" t="str">
        <x:v>同一候选库，两种服务约束分别选参</x:v>
      </x:c>
    </x:row>
    <x:row r="4" ht="38" customHeight="1">
      <x:c r="A4" s="5" t="str">
        <x:v>约束</x:v>
      </x:c>
      <x:c r="B4" s="5" t="str">
        <x:v>方法</x:v>
      </x:c>
      <x:c r="C4" s="5" t="str">
        <x:v>候选编号</x:v>
      </x:c>
      <x:c r="D4" s="5" t="str">
        <x:v>训练需求满足率</x:v>
      </x:c>
      <x:c r="E4" s="5" t="str">
        <x:v>训练正库存比例</x:v>
      </x:c>
      <x:c r="F4" s="5" t="str">
        <x:v>训练库存需求比</x:v>
      </x:c>
      <x:c r="G4" s="5" t="str">
        <x:v>β或分位数s</x:v>
      </x:c>
      <x:c r="H4" s="5" t="str">
        <x:v>半径或分位数S</x:v>
      </x:c>
      <x:c r="I4" s="5" t="str">
        <x:v>安全倍率</x:v>
      </x:c>
      <x:c r="J4" s="5" t="str">
        <x:v>RO宽度Γ</x:v>
      </x:c>
    </x:row>
    <x:row r="5" ht="23" customHeight="1">
      <x:c r="A5" s="6" t="str">
        <x:v>fill</x:v>
      </x:c>
      <x:c r="B5" s="6" t="str">
        <x:v>特征聚类DRO</x:v>
      </x:c>
      <x:c r="C5" s="8" t="n">
        <x:v>141</x:v>
      </x:c>
      <x:c r="D5" s="9" t="n">
        <x:v>0.9504321589303879</x:v>
      </x:c>
      <x:c r="E5" s="9" t="n">
        <x:v>0.5472870370370371</x:v>
      </x:c>
      <x:c r="F5" s="7" t="n">
        <x:v>0.0477010027347573</x:v>
      </x:c>
      <x:c r="G5" s="7" t="n">
        <x:v>0.8</x:v>
      </x:c>
      <x:c r="H5" s="7" t="n">
        <x:v>0.2</x:v>
      </x:c>
      <x:c r="I5" s="7" t="n">
        <x:v>0.75</x:v>
      </x:c>
      <x:c r="J5" s="7"/>
    </x:row>
    <x:row r="6" ht="23" customHeight="1">
      <x:c r="A6" s="6" t="str">
        <x:v>positive</x:v>
      </x:c>
      <x:c r="B6" s="6" t="str">
        <x:v>特征聚类DRO</x:v>
      </x:c>
      <x:c r="C6" s="8" t="n">
        <x:v>187</x:v>
      </x:c>
      <x:c r="D6" s="9" t="n">
        <x:v>0.9973606346844782</x:v>
      </x:c>
      <x:c r="E6" s="9" t="n">
        <x:v>0.9524351851851852</x:v>
      </x:c>
      <x:c r="F6" s="7" t="n">
        <x:v>0.237220281472953</x:v>
      </x:c>
      <x:c r="G6" s="7" t="n">
        <x:v>0.9</x:v>
      </x:c>
      <x:c r="H6" s="7" t="n">
        <x:v>0.025</x:v>
      </x:c>
      <x:c r="I6" s="7" t="n">
        <x:v>1</x:v>
      </x:c>
      <x:c r="J6" s="7"/>
    </x:row>
    <x:row r="7" ht="23" customHeight="1">
      <x:c r="A7" s="6" t="str">
        <x:v>fill</x:v>
      </x:c>
      <x:c r="B7" s="6" t="str">
        <x:v>不分组DRO</x:v>
      </x:c>
      <x:c r="C7" s="8" t="n">
        <x:v>612</x:v>
      </x:c>
      <x:c r="D7" s="9" t="n">
        <x:v>0.9508644789327303</x:v>
      </x:c>
      <x:c r="E7" s="9" t="n">
        <x:v>0.4935601851851852</x:v>
      </x:c>
      <x:c r="F7" s="7" t="n">
        <x:v>0.04648736151065704</x:v>
      </x:c>
      <x:c r="G7" s="7" t="n">
        <x:v>0.9</x:v>
      </x:c>
      <x:c r="H7" s="7" t="n">
        <x:v>0.075</x:v>
      </x:c>
      <x:c r="I7" s="7" t="n">
        <x:v>0.75</x:v>
      </x:c>
      <x:c r="J7" s="7"/>
    </x:row>
    <x:row r="8" ht="23" customHeight="1">
      <x:c r="A8" s="6" t="str">
        <x:v>positive</x:v>
      </x:c>
      <x:c r="B8" s="6" t="str">
        <x:v>不分组DRO</x:v>
      </x:c>
      <x:c r="C8" s="8" t="n">
        <x:v>780</x:v>
      </x:c>
      <x:c r="D8" s="9" t="n">
        <x:v>0.9985944854053781</x:v>
      </x:c>
      <x:c r="E8" s="9" t="n">
        <x:v>0.9530972222222223</x:v>
      </x:c>
      <x:c r="F8" s="7" t="n">
        <x:v>0.2731810802120932</x:v>
      </x:c>
      <x:c r="G8" s="7" t="n">
        <x:v>0.995</x:v>
      </x:c>
      <x:c r="H8" s="7" t="n">
        <x:v>0.005</x:v>
      </x:c>
      <x:c r="I8" s="7" t="n">
        <x:v>0.75</x:v>
      </x:c>
      <x:c r="J8" s="7"/>
    </x:row>
    <x:row r="9" ht="23" customHeight="1">
      <x:c r="A9" s="6" t="str">
        <x:v>fill</x:v>
      </x:c>
      <x:c r="B9" s="6" t="str">
        <x:v>爆品/长尾DRO</x:v>
      </x:c>
      <x:c r="C9" s="8" t="n">
        <x:v>981</x:v>
      </x:c>
      <x:c r="D9" s="9" t="n">
        <x:v>0.9509064187619719</x:v>
      </x:c>
      <x:c r="E9" s="9" t="n">
        <x:v>0.5481342592592593</x:v>
      </x:c>
      <x:c r="F9" s="7" t="n">
        <x:v>0.0461785779448976</x:v>
      </x:c>
      <x:c r="G9" s="7" t="n">
        <x:v>0.8</x:v>
      </x:c>
      <x:c r="H9" s="7" t="n">
        <x:v>0.2</x:v>
      </x:c>
      <x:c r="I9" s="7" t="n">
        <x:v>0.75</x:v>
      </x:c>
      <x:c r="J9" s="7"/>
    </x:row>
    <x:row r="10" ht="23" customHeight="1">
      <x:c r="A10" s="6" t="str">
        <x:v>positive</x:v>
      </x:c>
      <x:c r="B10" s="6" t="str">
        <x:v>爆品/长尾DRO</x:v>
      </x:c>
      <x:c r="C10" s="8" t="n">
        <x:v>1206</x:v>
      </x:c>
      <x:c r="D10" s="9" t="n">
        <x:v>0.9906765440591263</x:v>
      </x:c>
      <x:c r="E10" s="9" t="n">
        <x:v>0.9514814814814815</x:v>
      </x:c>
      <x:c r="F10" s="7" t="n">
        <x:v>0.16310939614541295</x:v>
      </x:c>
      <x:c r="G10" s="7" t="n">
        <x:v>0.995</x:v>
      </x:c>
      <x:c r="H10" s="7" t="n">
        <x:v>0.025</x:v>
      </x:c>
      <x:c r="I10" s="7" t="n">
        <x:v>0.75</x:v>
      </x:c>
      <x:c r="J10" s="7"/>
    </x:row>
    <x:row r="11" ht="23" customHeight="1">
      <x:c r="A11" s="6" t="str">
        <x:v>fill</x:v>
      </x:c>
      <x:c r="B11" s="6" t="str">
        <x:v>传统(s,S)</x:v>
      </x:c>
      <x:c r="C11" s="8" t="n">
        <x:v>1818</x:v>
      </x:c>
      <x:c r="D11" s="9" t="n">
        <x:v>0.9513372502868771</x:v>
      </x:c>
      <x:c r="E11" s="9" t="n">
        <x:v>0.5579583333333333</x:v>
      </x:c>
      <x:c r="F11" s="7" t="n">
        <x:v>0.05120235827749709</x:v>
      </x:c>
      <x:c r="G11" s="7" t="n">
        <x:v>0.75</x:v>
      </x:c>
      <x:c r="H11" s="7" t="n">
        <x:v>0.775</x:v>
      </x:c>
      <x:c r="I11" s="7" t="n">
        <x:v>0.9000000000000001</x:v>
      </x:c>
      <x:c r="J11" s="7"/>
    </x:row>
    <x:row r="12" ht="23" customHeight="1">
      <x:c r="A12" s="6" t="str">
        <x:v>positive</x:v>
      </x:c>
      <x:c r="B12" s="6" t="str">
        <x:v>传统(s,S)</x:v>
      </x:c>
      <x:c r="C12" s="8" t="n">
        <x:v>2287</x:v>
      </x:c>
      <x:c r="D12" s="9" t="n">
        <x:v>0.9967617634048287</x:v>
      </x:c>
      <x:c r="E12" s="9" t="n">
        <x:v>0.9503518518518519</x:v>
      </x:c>
      <x:c r="F12" s="7" t="n">
        <x:v>0.22978164424293385</x:v>
      </x:c>
      <x:c r="G12" s="7" t="n">
        <x:v>0.9</x:v>
      </x:c>
      <x:c r="H12" s="7" t="n">
        <x:v>0.925</x:v>
      </x:c>
      <x:c r="I12" s="7" t="n">
        <x:v>1.0000000000000002</x:v>
      </x:c>
      <x:c r="J12" s="7"/>
    </x:row>
    <x:row r="13" ht="23" customHeight="1">
      <x:c r="A13" s="6" t="str">
        <x:v>fill</x:v>
      </x:c>
      <x:c r="B13" s="6" t="str">
        <x:v>零半径经验模型</x:v>
      </x:c>
      <x:c r="C13" s="8" t="n">
        <x:v>3862</x:v>
      </x:c>
      <x:c r="D13" s="9" t="n">
        <x:v>0.9503240573576655</x:v>
      </x:c>
      <x:c r="E13" s="9" t="n">
        <x:v>0.5305277777777778</x:v>
      </x:c>
      <x:c r="F13" s="7" t="n">
        <x:v>0.04767677003444969</x:v>
      </x:c>
      <x:c r="G13" s="7" t="n">
        <x:v>0.7</x:v>
      </x:c>
      <x:c r="H13" s="7" t="n">
        <x:v>0</x:v>
      </x:c>
      <x:c r="I13" s="7" t="n">
        <x:v>0.925</x:v>
      </x:c>
      <x:c r="J13" s="7"/>
    </x:row>
    <x:row r="14" ht="23" customHeight="1">
      <x:c r="A14" s="6" t="str">
        <x:v>positive</x:v>
      </x:c>
      <x:c r="B14" s="6" t="str">
        <x:v>零半径经验模型</x:v>
      </x:c>
      <x:c r="C14" s="8" t="n">
        <x:v>3980</x:v>
      </x:c>
      <x:c r="D14" s="9" t="n">
        <x:v>0.9953659275089053</x:v>
      </x:c>
      <x:c r="E14" s="9" t="n">
        <x:v>0.9511296296296297</x:v>
      </x:c>
      <x:c r="F14" s="7" t="n">
        <x:v>0.20503831348114301</x:v>
      </x:c>
      <x:c r="G14" s="7" t="n">
        <x:v>0.97</x:v>
      </x:c>
      <x:c r="H14" s="7" t="n">
        <x:v>0</x:v>
      </x:c>
      <x:c r="I14" s="7" t="n">
        <x:v>0.9</x:v>
      </x:c>
      <x:c r="J14" s="7"/>
    </x:row>
    <x:row r="15" ht="23" customHeight="1">
      <x:c r="A15" s="6" t="str">
        <x:v>fill</x:v>
      </x:c>
      <x:c r="B15" s="6" t="str">
        <x:v>传统区间RO</x:v>
      </x:c>
      <x:c r="C15" s="8" t="n">
        <x:v>3021</x:v>
      </x:c>
      <x:c r="D15" s="9" t="n">
        <x:v>0.9589698138357674</x:v>
      </x:c>
      <x:c r="E15" s="9" t="n">
        <x:v>0.5376898148148148</x:v>
      </x:c>
      <x:c r="F15" s="7" t="n">
        <x:v>0.05507646955759474</x:v>
      </x:c>
      <x:c r="G15" s="7"/>
      <x:c r="H15" s="7"/>
      <x:c r="I15" s="7"/>
      <x:c r="J15" s="7" t="n">
        <x:v>0</x:v>
      </x:c>
    </x:row>
    <x:row r="16" ht="23" customHeight="1">
      <x:c r="A16" s="6" t="str">
        <x:v>positive</x:v>
      </x:c>
      <x:c r="B16" s="6" t="str">
        <x:v>传统区间RO</x:v>
      </x:c>
      <x:c r="C16" s="8" t="n">
        <x:v>3150</x:v>
      </x:c>
      <x:c r="D16" s="9" t="n">
        <x:v>0.9985657836774025</x:v>
      </x:c>
      <x:c r="E16" s="9" t="n">
        <x:v>0.9506481481481481</x:v>
      </x:c>
      <x:c r="F16" s="7" t="n">
        <x:v>0.2692730431515649</x:v>
      </x:c>
      <x:c r="G16" s="7"/>
      <x:c r="H16" s="7"/>
      <x:c r="I16" s="7"/>
      <x:c r="J16" s="7" t="n">
        <x:v>1.29</x:v>
      </x:c>
    </x:row>
    <x:row r="18">
      <x:c r="A18" t="str">
        <x:v>训练指标为三轮验证原始总量合并后的36期指标，非最终60期模型的训练内回放成绩。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2">
      <x:c r="A2" s="1" t="str">
        <x:v>已选候选逐轮成绩，选参约束作用于36期合并值</x:v>
      </x:c>
    </x:row>
    <x:row r="4" ht="38" customHeight="1">
      <x:c r="A4" s="5" t="str">
        <x:v>约束</x:v>
      </x:c>
      <x:c r="B4" s="5" t="str">
        <x:v>方法</x:v>
      </x:c>
      <x:c r="C4" s="5" t="str">
        <x:v>轮次</x:v>
      </x:c>
      <x:c r="D4" s="5" t="str">
        <x:v>拟合时期</x:v>
      </x:c>
      <x:c r="E4" s="5" t="str">
        <x:v>验证时期</x:v>
      </x:c>
      <x:c r="F4" s="5" t="str">
        <x:v>销量</x:v>
      </x:c>
      <x:c r="G4" s="5" t="str">
        <x:v>需求</x:v>
      </x:c>
      <x:c r="H4" s="5" t="str">
        <x:v>需求满足率</x:v>
      </x:c>
      <x:c r="I4" s="5" t="str">
        <x:v>正库存商品天</x:v>
      </x:c>
      <x:c r="J4" s="5" t="str">
        <x:v>全部商品天</x:v>
      </x:c>
      <x:c r="K4" s="5" t="str">
        <x:v>正库存比例</x:v>
      </x:c>
      <x:c r="L4" s="5" t="str">
        <x:v>累计期末库存</x:v>
      </x:c>
      <x:c r="M4" s="5" t="str">
        <x:v>库存需求比</x:v>
      </x:c>
    </x:row>
    <x:row r="5" ht="23" customHeight="1">
      <x:c r="A5" s="6" t="str">
        <x:v>fill</x:v>
      </x:c>
      <x:c r="B5" s="6" t="str">
        <x:v>特征聚类DRO</x:v>
      </x:c>
      <x:c r="C5" s="12" t="n">
        <x:v>1</x:v>
      </x:c>
      <x:c r="D5" s="10" t="str">
        <x:v>1-24</x:v>
      </x:c>
      <x:c r="E5" s="10" t="str">
        <x:v>25-36</x:v>
      </x:c>
      <x:c r="F5" s="8" t="n">
        <x:v>66138687</x:v>
      </x:c>
      <x:c r="G5" s="8" t="n">
        <x:v>69855538</x:v>
      </x:c>
      <x:c r="H5" s="9" t="n">
        <x:f>F5/G5</x:f>
        <x:v>0.9467923216051961</x:v>
      </x:c>
      <x:c r="I5" s="8" t="n">
        <x:v>41468</x:v>
      </x:c>
      <x:c r="J5" s="8" t="n">
        <x:v>72000</x:v>
      </x:c>
      <x:c r="K5" s="9" t="n">
        <x:f>I5/J5</x:f>
        <x:v>0.5759444444444445</x:v>
      </x:c>
      <x:c r="L5" s="8" t="n">
        <x:v>4129297</x:v>
      </x:c>
      <x:c r="M5" s="7" t="n">
        <x:f>L5/G5</x:f>
        <x:v>0.059111949005388804</x:v>
      </x:c>
    </x:row>
    <x:row r="6" ht="23" customHeight="1">
      <x:c r="A6" s="6" t="str">
        <x:v>fill</x:v>
      </x:c>
      <x:c r="B6" s="6" t="str">
        <x:v>特征聚类DRO</x:v>
      </x:c>
      <x:c r="C6" s="12" t="n">
        <x:v>2</x:v>
      </x:c>
      <x:c r="D6" s="10" t="str">
        <x:v>1-36</x:v>
      </x:c>
      <x:c r="E6" s="10" t="str">
        <x:v>37-48</x:v>
      </x:c>
      <x:c r="F6" s="8" t="n">
        <x:v>88779836</x:v>
      </x:c>
      <x:c r="G6" s="8" t="n">
        <x:v>93473766</x:v>
      </x:c>
      <x:c r="H6" s="9" t="n">
        <x:f>F6/G6</x:f>
        <x:v>0.9497834504710124</x:v>
      </x:c>
      <x:c r="I6" s="8" t="n">
        <x:v>39421</x:v>
      </x:c>
      <x:c r="J6" s="8" t="n">
        <x:v>72000</x:v>
      </x:c>
      <x:c r="K6" s="9" t="n">
        <x:f>I6/J6</x:f>
        <x:v>0.5475138888888889</x:v>
      </x:c>
      <x:c r="L6" s="8" t="n">
        <x:v>4442236</x:v>
      </x:c>
      <x:c r="M6" s="7" t="n">
        <x:f>L6/G6</x:f>
        <x:v>0.047523879587776534</x:v>
      </x:c>
    </x:row>
    <x:row r="7" ht="23" customHeight="1">
      <x:c r="A7" s="6" t="str">
        <x:v>fill</x:v>
      </x:c>
      <x:c r="B7" s="6" t="str">
        <x:v>特征聚类DRO</x:v>
      </x:c>
      <x:c r="C7" s="12" t="n">
        <x:v>3</x:v>
      </x:c>
      <x:c r="D7" s="10" t="str">
        <x:v>1-48</x:v>
      </x:c>
      <x:c r="E7" s="10" t="str">
        <x:v>49-60</x:v>
      </x:c>
      <x:c r="F7" s="8" t="n">
        <x:v>109431412</x:v>
      </x:c>
      <x:c r="G7" s="8" t="n">
        <x:v>114807260</x:v>
      </x:c>
      <x:c r="H7" s="9" t="n">
        <x:f>F7/G7</x:f>
        <x:v>0.9531750169806334</x:v>
      </x:c>
      <x:c r="I7" s="8" t="n">
        <x:v>37325</x:v>
      </x:c>
      <x:c r="J7" s="8" t="n">
        <x:v>72000</x:v>
      </x:c>
      <x:c r="K7" s="9" t="n">
        <x:f>I7/J7</x:f>
        <x:v>0.5184027777777778</x:v>
      </x:c>
      <x:c r="L7" s="8" t="n">
        <x:v>4695860</x:v>
      </x:c>
      <x:c r="M7" s="7" t="n">
        <x:f>L7/G7</x:f>
        <x:v>0.04090211716576112</x:v>
      </x:c>
    </x:row>
    <x:row r="8" ht="23" customHeight="1">
      <x:c r="A8" s="6" t="str">
        <x:v>positive</x:v>
      </x:c>
      <x:c r="B8" s="6" t="str">
        <x:v>特征聚类DRO</x:v>
      </x:c>
      <x:c r="C8" s="12" t="n">
        <x:v>1</x:v>
      </x:c>
      <x:c r="D8" s="10" t="str">
        <x:v>1-24</x:v>
      </x:c>
      <x:c r="E8" s="10" t="str">
        <x:v>25-36</x:v>
      </x:c>
      <x:c r="F8" s="8" t="n">
        <x:v>69568581</x:v>
      </x:c>
      <x:c r="G8" s="8" t="n">
        <x:v>69855538</x:v>
      </x:c>
      <x:c r="H8" s="9" t="n">
        <x:f>F8/G8</x:f>
        <x:v>0.995892136712196</x:v>
      </x:c>
      <x:c r="I8" s="8" t="n">
        <x:v>68201</x:v>
      </x:c>
      <x:c r="J8" s="8" t="n">
        <x:v>72000</x:v>
      </x:c>
      <x:c r="K8" s="9" t="n">
        <x:f>I8/J8</x:f>
        <x:v>0.9472361111111111</x:v>
      </x:c>
      <x:c r="L8" s="8" t="n">
        <x:v>17900564</x:v>
      </x:c>
      <x:c r="M8" s="7" t="n">
        <x:f>L8/G8</x:f>
        <x:v>0.2562511793982605</x:v>
      </x:c>
    </x:row>
    <x:row r="9" ht="23" customHeight="1">
      <x:c r="A9" s="6" t="str">
        <x:v>positive</x:v>
      </x:c>
      <x:c r="B9" s="6" t="str">
        <x:v>特征聚类DRO</x:v>
      </x:c>
      <x:c r="C9" s="12" t="n">
        <x:v>2</x:v>
      </x:c>
      <x:c r="D9" s="10" t="str">
        <x:v>1-36</x:v>
      </x:c>
      <x:c r="E9" s="10" t="str">
        <x:v>37-48</x:v>
      </x:c>
      <x:c r="F9" s="8" t="n">
        <x:v>93252584</x:v>
      </x:c>
      <x:c r="G9" s="8" t="n">
        <x:v>93473766</x:v>
      </x:c>
      <x:c r="H9" s="9" t="n">
        <x:f>F9/G9</x:f>
        <x:v>0.9976337531965921</x:v>
      </x:c>
      <x:c r="I9" s="8" t="n">
        <x:v>68471</x:v>
      </x:c>
      <x:c r="J9" s="8" t="n">
        <x:v>72000</x:v>
      </x:c>
      <x:c r="K9" s="9" t="n">
        <x:f>I9/J9</x:f>
        <x:v>0.9509861111111111</x:v>
      </x:c>
      <x:c r="L9" s="8" t="n">
        <x:v>22131693</x:v>
      </x:c>
      <x:c r="M9" s="7" t="n">
        <x:f>L9/G9</x:f>
        <x:v>0.23676903100277355</x:v>
      </x:c>
    </x:row>
    <x:row r="10" ht="23" customHeight="1">
      <x:c r="A10" s="6" t="str">
        <x:v>positive</x:v>
      </x:c>
      <x:c r="B10" s="6" t="str">
        <x:v>特征聚类DRO</x:v>
      </x:c>
      <x:c r="C10" s="12" t="n">
        <x:v>3</x:v>
      </x:c>
      <x:c r="D10" s="10" t="str">
        <x:v>1-48</x:v>
      </x:c>
      <x:c r="E10" s="10" t="str">
        <x:v>49-60</x:v>
      </x:c>
      <x:c r="F10" s="8" t="n">
        <x:v>114581295</x:v>
      </x:c>
      <x:c r="G10" s="8" t="n">
        <x:v>114807260</x:v>
      </x:c>
      <x:c r="H10" s="9" t="n">
        <x:f>F10/G10</x:f>
        <x:v>0.9980317882336013</x:v>
      </x:c>
      <x:c r="I10" s="8" t="n">
        <x:v>69054</x:v>
      </x:c>
      <x:c r="J10" s="8" t="n">
        <x:v>72000</x:v>
      </x:c>
      <x:c r="K10" s="9" t="n">
        <x:f>I10/J10</x:f>
        <x:v>0.9590833333333333</x:v>
      </x:c>
      <x:c r="L10" s="8" t="n">
        <x:v>25947377</x:v>
      </x:c>
      <x:c r="M10" s="7" t="n">
        <x:f>L10/G10</x:f>
        <x:v>0.22600815488497852</x:v>
      </x:c>
    </x:row>
    <x:row r="11" ht="23" customHeight="1">
      <x:c r="A11" s="6" t="str">
        <x:v>fill</x:v>
      </x:c>
      <x:c r="B11" s="6" t="str">
        <x:v>不分组DRO</x:v>
      </x:c>
      <x:c r="C11" s="12" t="n">
        <x:v>1</x:v>
      </x:c>
      <x:c r="D11" s="10" t="str">
        <x:v>1-24</x:v>
      </x:c>
      <x:c r="E11" s="10" t="str">
        <x:v>25-36</x:v>
      </x:c>
      <x:c r="F11" s="8" t="n">
        <x:v>66763078</x:v>
      </x:c>
      <x:c r="G11" s="8" t="n">
        <x:v>69855538</x:v>
      </x:c>
      <x:c r="H11" s="9" t="n">
        <x:f>F11/G11</x:f>
        <x:v>0.9557306394233196</x:v>
      </x:c>
      <x:c r="I11" s="8" t="n">
        <x:v>40301</x:v>
      </x:c>
      <x:c r="J11" s="8" t="n">
        <x:v>72000</x:v>
      </x:c>
      <x:c r="K11" s="9" t="n">
        <x:f>I11/J11</x:f>
        <x:v>0.5597361111111111</x:v>
      </x:c>
      <x:c r="L11" s="8" t="n">
        <x:v>4675856</x:v>
      </x:c>
      <x:c r="M11" s="7" t="n">
        <x:f>L11/G11</x:f>
        <x:v>0.06693608171767283</x:v>
      </x:c>
    </x:row>
    <x:row r="12" ht="23" customHeight="1">
      <x:c r="A12" s="6" t="str">
        <x:v>fill</x:v>
      </x:c>
      <x:c r="B12" s="6" t="str">
        <x:v>不分组DRO</x:v>
      </x:c>
      <x:c r="C12" s="12" t="n">
        <x:v>2</x:v>
      </x:c>
      <x:c r="D12" s="10" t="str">
        <x:v>1-36</x:v>
      </x:c>
      <x:c r="E12" s="10" t="str">
        <x:v>37-48</x:v>
      </x:c>
      <x:c r="F12" s="8" t="n">
        <x:v>88874843</x:v>
      </x:c>
      <x:c r="G12" s="8" t="n">
        <x:v>93473766</x:v>
      </x:c>
      <x:c r="H12" s="9" t="n">
        <x:f>F12/G12</x:f>
        <x:v>0.9507998532978761</x:v>
      </x:c>
      <x:c r="I12" s="8" t="n">
        <x:v>35409</x:v>
      </x:c>
      <x:c r="J12" s="8" t="n">
        <x:v>72000</x:v>
      </x:c>
      <x:c r="K12" s="9" t="n">
        <x:f>I12/J12</x:f>
        <x:v>0.4917916666666667</x:v>
      </x:c>
      <x:c r="L12" s="8" t="n">
        <x:v>4250223</x:v>
      </x:c>
      <x:c r="M12" s="7" t="n">
        <x:f>L12/G12</x:f>
        <x:v>0.045469688254563316</x:v>
      </x:c>
    </x:row>
    <x:row r="13" ht="23" customHeight="1">
      <x:c r="A13" s="6" t="str">
        <x:v>fill</x:v>
      </x:c>
      <x:c r="B13" s="6" t="str">
        <x:v>不分组DRO</x:v>
      </x:c>
      <x:c r="C13" s="12" t="n">
        <x:v>3</x:v>
      </x:c>
      <x:c r="D13" s="10" t="str">
        <x:v>1-48</x:v>
      </x:c>
      <x:c r="E13" s="10" t="str">
        <x:v>49-60</x:v>
      </x:c>
      <x:c r="F13" s="8" t="n">
        <x:v>108832258</x:v>
      </x:c>
      <x:c r="G13" s="8" t="n">
        <x:v>114807260</x:v>
      </x:c>
      <x:c r="H13" s="9" t="n">
        <x:f>F13/G13</x:f>
        <x:v>0.9479562355202973</x:v>
      </x:c>
      <x:c r="I13" s="8" t="n">
        <x:v>30899</x:v>
      </x:c>
      <x:c r="J13" s="8" t="n">
        <x:v>72000</x:v>
      </x:c>
      <x:c r="K13" s="9" t="n">
        <x:f>I13/J13</x:f>
        <x:v>0.42915277777777777</x:v>
      </x:c>
      <x:c r="L13" s="8" t="n">
        <x:v>4003756</x:v>
      </x:c>
      <x:c r="M13" s="7" t="n">
        <x:f>L13/G13</x:f>
        <x:v>0.034873717916445356</x:v>
      </x:c>
    </x:row>
    <x:row r="14" ht="23" customHeight="1">
      <x:c r="A14" s="6" t="str">
        <x:v>positive</x:v>
      </x:c>
      <x:c r="B14" s="6" t="str">
        <x:v>不分组DRO</x:v>
      </x:c>
      <x:c r="C14" s="12" t="n">
        <x:v>1</x:v>
      </x:c>
      <x:c r="D14" s="10" t="str">
        <x:v>1-24</x:v>
      </x:c>
      <x:c r="E14" s="10" t="str">
        <x:v>25-36</x:v>
      </x:c>
      <x:c r="F14" s="8" t="n">
        <x:v>69774328</x:v>
      </x:c>
      <x:c r="G14" s="8" t="n">
        <x:v>69855538</x:v>
      </x:c>
      <x:c r="H14" s="9" t="n">
        <x:f>F14/G14</x:f>
        <x:v>0.9988374579550157</x:v>
      </x:c>
      <x:c r="I14" s="8" t="n">
        <x:v>69222</x:v>
      </x:c>
      <x:c r="J14" s="8" t="n">
        <x:v>72000</x:v>
      </x:c>
      <x:c r="K14" s="9" t="n">
        <x:f>I14/J14</x:f>
        <x:v>0.9614166666666667</x:v>
      </x:c>
      <x:c r="L14" s="8" t="n">
        <x:v>24330281</x:v>
      </x:c>
      <x:c r="M14" s="7" t="n">
        <x:f>L14/G14</x:f>
        <x:v>0.34829423259183834</x:v>
      </x:c>
    </x:row>
    <x:row r="15" ht="23" customHeight="1">
      <x:c r="A15" s="6" t="str">
        <x:v>positive</x:v>
      </x:c>
      <x:c r="B15" s="6" t="str">
        <x:v>不分组DRO</x:v>
      </x:c>
      <x:c r="C15" s="12" t="n">
        <x:v>2</x:v>
      </x:c>
      <x:c r="D15" s="10" t="str">
        <x:v>1-36</x:v>
      </x:c>
      <x:c r="E15" s="10" t="str">
        <x:v>37-48</x:v>
      </x:c>
      <x:c r="F15" s="8" t="n">
        <x:v>93361542</x:v>
      </x:c>
      <x:c r="G15" s="8" t="n">
        <x:v>93473766</x:v>
      </x:c>
      <x:c r="H15" s="9" t="n">
        <x:f>F15/G15</x:f>
        <x:v>0.9987994064559248</x:v>
      </x:c>
      <x:c r="I15" s="8" t="n">
        <x:v>68520</x:v>
      </x:c>
      <x:c r="J15" s="8" t="n">
        <x:v>72000</x:v>
      </x:c>
      <x:c r="K15" s="9" t="n">
        <x:f>I15/J15</x:f>
        <x:v>0.9516666666666667</x:v>
      </x:c>
      <x:c r="L15" s="8" t="n">
        <x:v>25210193</x:v>
      </x:c>
      <x:c r="M15" s="7" t="n">
        <x:f>L15/G15</x:f>
        <x:v>0.26970340533834913</x:v>
      </x:c>
    </x:row>
    <x:row r="16" ht="23" customHeight="1">
      <x:c r="A16" s="6" t="str">
        <x:v>positive</x:v>
      </x:c>
      <x:c r="B16" s="6" t="str">
        <x:v>不分组DRO</x:v>
      </x:c>
      <x:c r="C16" s="12" t="n">
        <x:v>3</x:v>
      </x:c>
      <x:c r="D16" s="10" t="str">
        <x:v>1-48</x:v>
      </x:c>
      <x:c r="E16" s="10" t="str">
        <x:v>49-60</x:v>
      </x:c>
      <x:c r="F16" s="8" t="n">
        <x:v>114609769</x:v>
      </x:c>
      <x:c r="G16" s="8" t="n">
        <x:v>114807260</x:v>
      </x:c>
      <x:c r="H16" s="9" t="n">
        <x:f>F16/G16</x:f>
        <x:v>0.9982798039078713</x:v>
      </x:c>
      <x:c r="I16" s="8" t="n">
        <x:v>68127</x:v>
      </x:c>
      <x:c r="J16" s="8" t="n">
        <x:v>72000</x:v>
      </x:c>
      <x:c r="K16" s="9" t="n">
        <x:f>I16/J16</x:f>
        <x:v>0.9462083333333333</x:v>
      </x:c>
      <x:c r="L16" s="8" t="n">
        <x:v>26441173</x:v>
      </x:c>
      <x:c r="M16" s="7" t="n">
        <x:f>L16/G16</x:f>
        <x:v>0.23030924176746315</x:v>
      </x:c>
    </x:row>
    <x:row r="17" ht="23" customHeight="1">
      <x:c r="A17" s="6" t="str">
        <x:v>fill</x:v>
      </x:c>
      <x:c r="B17" s="6" t="str">
        <x:v>爆品/长尾DRO</x:v>
      </x:c>
      <x:c r="C17" s="12" t="n">
        <x:v>1</x:v>
      </x:c>
      <x:c r="D17" s="10" t="str">
        <x:v>1-24</x:v>
      </x:c>
      <x:c r="E17" s="10" t="str">
        <x:v>25-36</x:v>
      </x:c>
      <x:c r="F17" s="8" t="n">
        <x:v>66190247</x:v>
      </x:c>
      <x:c r="G17" s="8" t="n">
        <x:v>69855538</x:v>
      </x:c>
      <x:c r="H17" s="9" t="n">
        <x:f>F17/G17</x:f>
        <x:v>0.9475304162713628</x:v>
      </x:c>
      <x:c r="I17" s="8" t="n">
        <x:v>41777</x:v>
      </x:c>
      <x:c r="J17" s="8" t="n">
        <x:v>72000</x:v>
      </x:c>
      <x:c r="K17" s="9" t="n">
        <x:f>I17/J17</x:f>
        <x:v>0.5802361111111111</x:v>
      </x:c>
      <x:c r="L17" s="8" t="n">
        <x:v>4002033</x:v>
      </x:c>
      <x:c r="M17" s="7" t="n">
        <x:f>L17/G17</x:f>
        <x:v>0.05729013210090802</x:v>
      </x:c>
    </x:row>
    <x:row r="18" ht="23" customHeight="1">
      <x:c r="A18" s="6" t="str">
        <x:v>fill</x:v>
      </x:c>
      <x:c r="B18" s="6" t="str">
        <x:v>爆品/长尾DRO</x:v>
      </x:c>
      <x:c r="C18" s="12" t="n">
        <x:v>2</x:v>
      </x:c>
      <x:c r="D18" s="10" t="str">
        <x:v>1-36</x:v>
      </x:c>
      <x:c r="E18" s="10" t="str">
        <x:v>37-48</x:v>
      </x:c>
      <x:c r="F18" s="8" t="n">
        <x:v>88840233</x:v>
      </x:c>
      <x:c r="G18" s="8" t="n">
        <x:v>93473766</x:v>
      </x:c>
      <x:c r="H18" s="9" t="n">
        <x:f>F18/G18</x:f>
        <x:v>0.9504295889822177</x:v>
      </x:c>
      <x:c r="I18" s="8" t="n">
        <x:v>39489</x:v>
      </x:c>
      <x:c r="J18" s="8" t="n">
        <x:v>72000</x:v>
      </x:c>
      <x:c r="K18" s="9" t="n">
        <x:f>I18/J18</x:f>
        <x:v>0.5484583333333334</x:v>
      </x:c>
      <x:c r="L18" s="8" t="n">
        <x:v>4259979</x:v>
      </x:c>
      <x:c r="M18" s="7" t="n">
        <x:f>L18/G18</x:f>
        <x:v>0.04557405978485985</x:v>
      </x:c>
    </x:row>
    <x:row r="19" ht="23" customHeight="1">
      <x:c r="A19" s="6" t="str">
        <x:v>fill</x:v>
      </x:c>
      <x:c r="B19" s="6" t="str">
        <x:v>爆品/长尾DRO</x:v>
      </x:c>
      <x:c r="C19" s="12" t="n">
        <x:v>3</x:v>
      </x:c>
      <x:c r="D19" s="10" t="str">
        <x:v>1-48</x:v>
      </x:c>
      <x:c r="E19" s="10" t="str">
        <x:v>49-60</x:v>
      </x:c>
      <x:c r="F19" s="8" t="n">
        <x:v>109451364</x:v>
      </x:c>
      <x:c r="G19" s="8" t="n">
        <x:v>114807260</x:v>
      </x:c>
      <x:c r="H19" s="9" t="n">
        <x:f>F19/G19</x:f>
        <x:v>0.9533488038996837</x:v>
      </x:c>
      <x:c r="I19" s="8" t="n">
        <x:v>37131</x:v>
      </x:c>
      <x:c r="J19" s="8" t="n">
        <x:v>72000</x:v>
      </x:c>
      <x:c r="K19" s="9" t="n">
        <x:f>I19/J19</x:f>
        <x:v>0.5157083333333333</x:v>
      </x:c>
      <x:c r="L19" s="8" t="n">
        <x:v>4581939</x:v>
      </x:c>
      <x:c r="M19" s="7" t="n">
        <x:f>L19/G19</x:f>
        <x:v>0.03990983671241697</x:v>
      </x:c>
    </x:row>
    <x:row r="20" ht="23" customHeight="1">
      <x:c r="A20" s="6" t="str">
        <x:v>positive</x:v>
      </x:c>
      <x:c r="B20" s="6" t="str">
        <x:v>爆品/长尾DRO</x:v>
      </x:c>
      <x:c r="C20" s="12" t="n">
        <x:v>1</x:v>
      </x:c>
      <x:c r="D20" s="10" t="str">
        <x:v>1-24</x:v>
      </x:c>
      <x:c r="E20" s="10" t="str">
        <x:v>25-36</x:v>
      </x:c>
      <x:c r="F20" s="8" t="n">
        <x:v>69270091</x:v>
      </x:c>
      <x:c r="G20" s="8" t="n">
        <x:v>69855538</x:v>
      </x:c>
      <x:c r="H20" s="9" t="n">
        <x:f>F20/G20</x:f>
        <x:v>0.9916191755620005</x:v>
      </x:c>
      <x:c r="I20" s="8" t="n">
        <x:v>69027</x:v>
      </x:c>
      <x:c r="J20" s="8" t="n">
        <x:v>72000</x:v>
      </x:c>
      <x:c r="K20" s="9" t="n">
        <x:f>I20/J20</x:f>
        <x:v>0.9587083333333334</x:v>
      </x:c>
      <x:c r="L20" s="8" t="n">
        <x:v>14566119</x:v>
      </x:c>
      <x:c r="M20" s="7" t="n">
        <x:f>L20/G20</x:f>
        <x:v>0.20851774128487852</x:v>
      </x:c>
    </x:row>
    <x:row r="21" ht="23" customHeight="1">
      <x:c r="A21" s="6" t="str">
        <x:v>positive</x:v>
      </x:c>
      <x:c r="B21" s="6" t="str">
        <x:v>爆品/长尾DRO</x:v>
      </x:c>
      <x:c r="C21" s="12" t="n">
        <x:v>2</x:v>
      </x:c>
      <x:c r="D21" s="10" t="str">
        <x:v>1-36</x:v>
      </x:c>
      <x:c r="E21" s="10" t="str">
        <x:v>37-48</x:v>
      </x:c>
      <x:c r="F21" s="8" t="n">
        <x:v>92627620</x:v>
      </x:c>
      <x:c r="G21" s="8" t="n">
        <x:v>93473766</x:v>
      </x:c>
      <x:c r="H21" s="9" t="n">
        <x:f>F21/G21</x:f>
        <x:v>0.9909477703080883</x:v>
      </x:c>
      <x:c r="I21" s="8" t="n">
        <x:v>68410</x:v>
      </x:c>
      <x:c r="J21" s="8" t="n">
        <x:v>72000</x:v>
      </x:c>
      <x:c r="K21" s="9" t="n">
        <x:f>I21/J21</x:f>
        <x:v>0.9501388888888889</x:v>
      </x:c>
      <x:c r="L21" s="8" t="n">
        <x:v>15122654</x:v>
      </x:c>
      <x:c r="M21" s="7" t="n">
        <x:f>L21/G21</x:f>
        <x:v>0.1617850082128926</x:v>
      </x:c>
    </x:row>
    <x:row r="22" ht="23" customHeight="1">
      <x:c r="A22" s="6" t="str">
        <x:v>positive</x:v>
      </x:c>
      <x:c r="B22" s="6" t="str">
        <x:v>爆品/长尾DRO</x:v>
      </x:c>
      <x:c r="C22" s="12" t="n">
        <x:v>3</x:v>
      </x:c>
      <x:c r="D22" s="10" t="str">
        <x:v>1-48</x:v>
      </x:c>
      <x:c r="E22" s="10" t="str">
        <x:v>49-60</x:v>
      </x:c>
      <x:c r="F22" s="8" t="n">
        <x:v>113645659</x:v>
      </x:c>
      <x:c r="G22" s="8" t="n">
        <x:v>114807260</x:v>
      </x:c>
      <x:c r="H22" s="9" t="n">
        <x:f>F22/G22</x:f>
        <x:v>0.9898821642464074</x:v>
      </x:c>
      <x:c r="I22" s="8" t="n">
        <x:v>68083</x:v>
      </x:c>
      <x:c r="J22" s="8" t="n">
        <x:v>72000</x:v>
      </x:c>
      <x:c r="K22" s="9" t="n">
        <x:f>I22/J22</x:f>
        <x:v>0.9455972222222222</x:v>
      </x:c>
      <x:c r="L22" s="8" t="n">
        <x:v>15677914</x:v>
      </x:c>
      <x:c r="M22" s="7" t="n">
        <x:f>L22/G22</x:f>
        <x:v>0.136558559101576</x:v>
      </x:c>
    </x:row>
    <x:row r="23" ht="23" customHeight="1">
      <x:c r="A23" s="6" t="str">
        <x:v>fill</x:v>
      </x:c>
      <x:c r="B23" s="6" t="str">
        <x:v>传统(s,S)</x:v>
      </x:c>
      <x:c r="C23" s="12" t="n">
        <x:v>1</x:v>
      </x:c>
      <x:c r="D23" s="10" t="str">
        <x:v>1-24</x:v>
      </x:c>
      <x:c r="E23" s="10" t="str">
        <x:v>25-36</x:v>
      </x:c>
      <x:c r="F23" s="8" t="n">
        <x:v>66159115</x:v>
      </x:c>
      <x:c r="G23" s="8" t="n">
        <x:v>69855538</x:v>
      </x:c>
      <x:c r="H23" s="9" t="n">
        <x:f>F23/G23</x:f>
        <x:v>0.9470847536812328</x:v>
      </x:c>
      <x:c r="I23" s="8" t="n">
        <x:v>41941</x:v>
      </x:c>
      <x:c r="J23" s="8" t="n">
        <x:v>72000</x:v>
      </x:c>
      <x:c r="K23" s="9" t="n">
        <x:f>I23/J23</x:f>
        <x:v>0.5825138888888889</x:v>
      </x:c>
      <x:c r="L23" s="8" t="n">
        <x:v>4230555</x:v>
      </x:c>
      <x:c r="M23" s="7" t="n">
        <x:f>L23/G23</x:f>
        <x:v>0.06056148332863745</x:v>
      </x:c>
    </x:row>
    <x:row r="24" ht="23" customHeight="1">
      <x:c r="A24" s="6" t="str">
        <x:v>fill</x:v>
      </x:c>
      <x:c r="B24" s="6" t="str">
        <x:v>传统(s,S)</x:v>
      </x:c>
      <x:c r="C24" s="12" t="n">
        <x:v>2</x:v>
      </x:c>
      <x:c r="D24" s="10" t="str">
        <x:v>1-36</x:v>
      </x:c>
      <x:c r="E24" s="10" t="str">
        <x:v>37-48</x:v>
      </x:c>
      <x:c r="F24" s="8" t="n">
        <x:v>88839130</x:v>
      </x:c>
      <x:c r="G24" s="8" t="n">
        <x:v>93473766</x:v>
      </x:c>
      <x:c r="H24" s="9" t="n">
        <x:f>F24/G24</x:f>
        <x:v>0.9504177888799302</x:v>
      </x:c>
      <x:c r="I24" s="8" t="n">
        <x:v>40153</x:v>
      </x:c>
      <x:c r="J24" s="8" t="n">
        <x:v>72000</x:v>
      </x:c>
      <x:c r="K24" s="9" t="n">
        <x:f>I24/J24</x:f>
        <x:v>0.5576805555555555</x:v>
      </x:c>
      <x:c r="L24" s="8" t="n">
        <x:v>4844463</x:v>
      </x:c>
      <x:c r="M24" s="7" t="n">
        <x:f>L24/G24</x:f>
        <x:v>0.051826979989230346</x:v>
      </x:c>
    </x:row>
    <x:row r="25" ht="23" customHeight="1">
      <x:c r="A25" s="6" t="str">
        <x:v>fill</x:v>
      </x:c>
      <x:c r="B25" s="6" t="str">
        <x:v>传统(s,S)</x:v>
      </x:c>
      <x:c r="C25" s="12" t="n">
        <x:v>3</x:v>
      </x:c>
      <x:c r="D25" s="10" t="str">
        <x:v>1-48</x:v>
      </x:c>
      <x:c r="E25" s="10" t="str">
        <x:v>49-60</x:v>
      </x:c>
      <x:c r="F25" s="8" t="n">
        <x:v>109603429</x:v>
      </x:c>
      <x:c r="G25" s="8" t="n">
        <x:v>114807260</x:v>
      </x:c>
      <x:c r="H25" s="9" t="n">
        <x:f>F25/G25</x:f>
        <x:v>0.9546733281501536</x:v>
      </x:c>
      <x:c r="I25" s="8" t="n">
        <x:v>38425</x:v>
      </x:c>
      <x:c r="J25" s="8" t="n">
        <x:v>72000</x:v>
      </x:c>
      <x:c r="K25" s="9" t="n">
        <x:f>I25/J25</x:f>
        <x:v>0.5336805555555556</x:v>
      </x:c>
      <x:c r="L25" s="8" t="n">
        <x:v>5166230</x:v>
      </x:c>
      <x:c r="M25" s="7" t="n">
        <x:f>L25/G25</x:f>
        <x:v>0.04499915771877144</x:v>
      </x:c>
    </x:row>
    <x:row r="26" ht="23" customHeight="1">
      <x:c r="A26" s="6" t="str">
        <x:v>positive</x:v>
      </x:c>
      <x:c r="B26" s="6" t="str">
        <x:v>传统(s,S)</x:v>
      </x:c>
      <x:c r="C26" s="12" t="n">
        <x:v>1</x:v>
      </x:c>
      <x:c r="D26" s="10" t="str">
        <x:v>1-24</x:v>
      </x:c>
      <x:c r="E26" s="10" t="str">
        <x:v>25-36</x:v>
      </x:c>
      <x:c r="F26" s="8" t="n">
        <x:v>69539481</x:v>
      </x:c>
      <x:c r="G26" s="8" t="n">
        <x:v>69855538</x:v>
      </x:c>
      <x:c r="H26" s="9" t="n">
        <x:f>F26/G26</x:f>
        <x:v>0.9954755627248909</x:v>
      </x:c>
      <x:c r="I26" s="8" t="n">
        <x:v>68123</x:v>
      </x:c>
      <x:c r="J26" s="8" t="n">
        <x:v>72000</x:v>
      </x:c>
      <x:c r="K26" s="9" t="n">
        <x:f>I26/J26</x:f>
        <x:v>0.9461527777777777</x:v>
      </x:c>
      <x:c r="L26" s="8" t="n">
        <x:v>17396142</x:v>
      </x:c>
      <x:c r="M26" s="7" t="n">
        <x:f>L26/G26</x:f>
        <x:v>0.24903024868264562</x:v>
      </x:c>
    </x:row>
    <x:row r="27" ht="23" customHeight="1">
      <x:c r="A27" s="6" t="str">
        <x:v>positive</x:v>
      </x:c>
      <x:c r="B27" s="6" t="str">
        <x:v>传统(s,S)</x:v>
      </x:c>
      <x:c r="C27" s="12" t="n">
        <x:v>2</x:v>
      </x:c>
      <x:c r="D27" s="10" t="str">
        <x:v>1-36</x:v>
      </x:c>
      <x:c r="E27" s="10" t="str">
        <x:v>37-48</x:v>
      </x:c>
      <x:c r="F27" s="8" t="n">
        <x:v>93176112</x:v>
      </x:c>
      <x:c r="G27" s="8" t="n">
        <x:v>93473766</x:v>
      </x:c>
      <x:c r="H27" s="9" t="n">
        <x:f>F27/G27</x:f>
        <x:v>0.9968156412998274</x:v>
      </x:c>
      <x:c r="I27" s="8" t="n">
        <x:v>68296</x:v>
      </x:c>
      <x:c r="J27" s="8" t="n">
        <x:v>72000</x:v>
      </x:c>
      <x:c r="K27" s="9" t="n">
        <x:f>I27/J27</x:f>
        <x:v>0.9485555555555556</x:v>
      </x:c>
      <x:c r="L27" s="8" t="n">
        <x:v>21404915</x:v>
      </x:c>
      <x:c r="M27" s="7" t="n">
        <x:f>L27/G27</x:f>
        <x:v>0.2289938227159907</x:v>
      </x:c>
    </x:row>
    <x:row r="28" ht="23" customHeight="1">
      <x:c r="A28" s="6" t="str">
        <x:v>positive</x:v>
      </x:c>
      <x:c r="B28" s="6" t="str">
        <x:v>传统(s,S)</x:v>
      </x:c>
      <x:c r="C28" s="12" t="n">
        <x:v>3</x:v>
      </x:c>
      <x:c r="D28" s="10" t="str">
        <x:v>1-48</x:v>
      </x:c>
      <x:c r="E28" s="10" t="str">
        <x:v>49-60</x:v>
      </x:c>
      <x:c r="F28" s="8" t="n">
        <x:v>114520299</x:v>
      </x:c>
      <x:c r="G28" s="8" t="n">
        <x:v>114807260</x:v>
      </x:c>
      <x:c r="H28" s="9" t="n">
        <x:f>F28/G28</x:f>
        <x:v>0.9975004977908192</x:v>
      </x:c>
      <x:c r="I28" s="8" t="n">
        <x:v>68857</x:v>
      </x:c>
      <x:c r="J28" s="8" t="n">
        <x:v>72000</x:v>
      </x:c>
      <x:c r="K28" s="9" t="n">
        <x:f>I28/J28</x:f>
        <x:v>0.9563472222222222</x:v>
      </x:c>
      <x:c r="L28" s="8" t="n">
        <x:v>25109620</x:v>
      </x:c>
      <x:c r="M28" s="7" t="n">
        <x:f>L28/G28</x:f>
        <x:v>0.21871108151174412</x:v>
      </x:c>
    </x:row>
    <x:row r="29" ht="23" customHeight="1">
      <x:c r="A29" s="6" t="str">
        <x:v>fill</x:v>
      </x:c>
      <x:c r="B29" s="6" t="str">
        <x:v>零半径经验模型</x:v>
      </x:c>
      <x:c r="C29" s="12" t="n">
        <x:v>1</x:v>
      </x:c>
      <x:c r="D29" s="10" t="str">
        <x:v>1-24</x:v>
      </x:c>
      <x:c r="E29" s="10" t="str">
        <x:v>25-36</x:v>
      </x:c>
      <x:c r="F29" s="8" t="n">
        <x:v>66005550</x:v>
      </x:c>
      <x:c r="G29" s="8" t="n">
        <x:v>69855538</x:v>
      </x:c>
      <x:c r="H29" s="9" t="n">
        <x:f>F29/G29</x:f>
        <x:v>0.9448864311946177</x:v>
      </x:c>
      <x:c r="I29" s="8" t="n">
        <x:v>39712</x:v>
      </x:c>
      <x:c r="J29" s="8" t="n">
        <x:v>72000</x:v>
      </x:c>
      <x:c r="K29" s="9" t="n">
        <x:f>I29/J29</x:f>
        <x:v>0.5515555555555556</x:v>
      </x:c>
      <x:c r="L29" s="8" t="n">
        <x:v>3993941</x:v>
      </x:c>
      <x:c r="M29" s="7" t="n">
        <x:f>L29/G29</x:f>
        <x:v>0.057174293038871164</x:v>
      </x:c>
    </x:row>
    <x:row r="30" ht="23" customHeight="1">
      <x:c r="A30" s="6" t="str">
        <x:v>fill</x:v>
      </x:c>
      <x:c r="B30" s="6" t="str">
        <x:v>零半径经验模型</x:v>
      </x:c>
      <x:c r="C30" s="12" t="n">
        <x:v>2</x:v>
      </x:c>
      <x:c r="D30" s="10" t="str">
        <x:v>1-36</x:v>
      </x:c>
      <x:c r="E30" s="10" t="str">
        <x:v>37-48</x:v>
      </x:c>
      <x:c r="F30" s="8" t="n">
        <x:v>88793800</x:v>
      </x:c>
      <x:c r="G30" s="8" t="n">
        <x:v>93473766</x:v>
      </x:c>
      <x:c r="H30" s="9" t="n">
        <x:f>F30/G30</x:f>
        <x:v>0.9499328399799362</x:v>
      </x:c>
      <x:c r="I30" s="8" t="n">
        <x:v>38243</x:v>
      </x:c>
      <x:c r="J30" s="8" t="n">
        <x:v>72000</x:v>
      </x:c>
      <x:c r="K30" s="9" t="n">
        <x:f>I30/J30</x:f>
        <x:v>0.5311527777777778</x:v>
      </x:c>
      <x:c r="L30" s="8" t="n">
        <x:v>4470432</x:v>
      </x:c>
      <x:c r="M30" s="7" t="n">
        <x:f>L30/G30</x:f>
        <x:v>0.04782552572023256</x:v>
      </x:c>
    </x:row>
    <x:row r="31" ht="23" customHeight="1">
      <x:c r="A31" s="6" t="str">
        <x:v>fill</x:v>
      </x:c>
      <x:c r="B31" s="6" t="str">
        <x:v>零半径经验模型</x:v>
      </x:c>
      <x:c r="C31" s="12" t="n">
        <x:v>3</x:v>
      </x:c>
      <x:c r="D31" s="10" t="str">
        <x:v>1-48</x:v>
      </x:c>
      <x:c r="E31" s="10" t="str">
        <x:v>49-60</x:v>
      </x:c>
      <x:c r="F31" s="8" t="n">
        <x:v>109520518</x:v>
      </x:c>
      <x:c r="G31" s="8" t="n">
        <x:v>114807260</x:v>
      </x:c>
      <x:c r="H31" s="9" t="n">
        <x:f>F31/G31</x:f>
        <x:v>0.953951152566484</x:v>
      </x:c>
      <x:c r="I31" s="8" t="n">
        <x:v>36639</x:v>
      </x:c>
      <x:c r="J31" s="8" t="n">
        <x:v>72000</x:v>
      </x:c>
      <x:c r="K31" s="9" t="n">
        <x:f>I31/J31</x:f>
        <x:v>0.508875</x:v>
      </x:c>
      <x:c r="L31" s="8" t="n">
        <x:v>4796280</x:v>
      </x:c>
      <x:c r="M31" s="7" t="n">
        <x:f>L31/G31</x:f>
        <x:v>0.04177680052637786</x:v>
      </x:c>
    </x:row>
    <x:row r="32" ht="23" customHeight="1">
      <x:c r="A32" s="6" t="str">
        <x:v>positive</x:v>
      </x:c>
      <x:c r="B32" s="6" t="str">
        <x:v>零半径经验模型</x:v>
      </x:c>
      <x:c r="C32" s="12" t="n">
        <x:v>1</x:v>
      </x:c>
      <x:c r="D32" s="10" t="str">
        <x:v>1-24</x:v>
      </x:c>
      <x:c r="E32" s="10" t="str">
        <x:v>25-36</x:v>
      </x:c>
      <x:c r="F32" s="8" t="n">
        <x:v>69464081</x:v>
      </x:c>
      <x:c r="G32" s="8" t="n">
        <x:v>69855538</x:v>
      </x:c>
      <x:c r="H32" s="9" t="n">
        <x:f>F32/G32</x:f>
        <x:v>0.9943961923247946</x:v>
      </x:c>
      <x:c r="I32" s="8" t="n">
        <x:v>68756</x:v>
      </x:c>
      <x:c r="J32" s="8" t="n">
        <x:v>72000</x:v>
      </x:c>
      <x:c r="K32" s="9" t="n">
        <x:f>I32/J32</x:f>
        <x:v>0.9549444444444445</x:v>
      </x:c>
      <x:c r="L32" s="8" t="n">
        <x:v>16622761</x:v>
      </x:c>
      <x:c r="M32" s="7" t="n">
        <x:f>L32/G32</x:f>
        <x:v>0.23795910068003484</x:v>
      </x:c>
    </x:row>
    <x:row r="33" ht="23" customHeight="1">
      <x:c r="A33" s="6" t="str">
        <x:v>positive</x:v>
      </x:c>
      <x:c r="B33" s="6" t="str">
        <x:v>零半径经验模型</x:v>
      </x:c>
      <x:c r="C33" s="12" t="n">
        <x:v>2</x:v>
      </x:c>
      <x:c r="D33" s="10" t="str">
        <x:v>1-36</x:v>
      </x:c>
      <x:c r="E33" s="10" t="str">
        <x:v>37-48</x:v>
      </x:c>
      <x:c r="F33" s="8" t="n">
        <x:v>93050062</x:v>
      </x:c>
      <x:c r="G33" s="8" t="n">
        <x:v>93473766</x:v>
      </x:c>
      <x:c r="H33" s="9" t="n">
        <x:f>F33/G33</x:f>
        <x:v>0.9954671345968878</x:v>
      </x:c>
      <x:c r="I33" s="8" t="n">
        <x:v>68267</x:v>
      </x:c>
      <x:c r="J33" s="8" t="n">
        <x:v>72000</x:v>
      </x:c>
      <x:c r="K33" s="9" t="n">
        <x:f>I33/J33</x:f>
        <x:v>0.9481527777777777</x:v>
      </x:c>
      <x:c r="L33" s="8" t="n">
        <x:v>19082108</x:v>
      </x:c>
      <x:c r="M33" s="7" t="n">
        <x:f>L33/G33</x:f>
        <x:v>0.20414399479742798</x:v>
      </x:c>
    </x:row>
    <x:row r="34" ht="23" customHeight="1">
      <x:c r="A34" s="6" t="str">
        <x:v>positive</x:v>
      </x:c>
      <x:c r="B34" s="6" t="str">
        <x:v>零半径经验模型</x:v>
      </x:c>
      <x:c r="C34" s="12" t="n">
        <x:v>3</x:v>
      </x:c>
      <x:c r="D34" s="10" t="str">
        <x:v>1-48</x:v>
      </x:c>
      <x:c r="E34" s="10" t="str">
        <x:v>49-60</x:v>
      </x:c>
      <x:c r="F34" s="8" t="n">
        <x:v>114333516</x:v>
      </x:c>
      <x:c r="G34" s="8" t="n">
        <x:v>114807260</x:v>
      </x:c>
      <x:c r="H34" s="9" t="n">
        <x:f>F34/G34</x:f>
        <x:v>0.995873571061621</x:v>
      </x:c>
      <x:c r="I34" s="8" t="n">
        <x:v>68421</x:v>
      </x:c>
      <x:c r="J34" s="8" t="n">
        <x:v>72000</x:v>
      </x:c>
      <x:c r="K34" s="9" t="n">
        <x:f>I34/J34</x:f>
        <x:v>0.9502916666666666</x:v>
      </x:c>
      <x:c r="L34" s="8" t="n">
        <x:v>21323783</x:v>
      </x:c>
      <x:c r="M34" s="7" t="n">
        <x:f>L34/G34</x:f>
        <x:v>0.1857354926857413</x:v>
      </x:c>
    </x:row>
    <x:row r="35" ht="23" customHeight="1">
      <x:c r="A35" s="6" t="str">
        <x:v>fill</x:v>
      </x:c>
      <x:c r="B35" s="6" t="str">
        <x:v>传统区间RO</x:v>
      </x:c>
      <x:c r="C35" s="12" t="n">
        <x:v>1</x:v>
      </x:c>
      <x:c r="D35" s="10" t="str">
        <x:v>1-24</x:v>
      </x:c>
      <x:c r="E35" s="10" t="str">
        <x:v>25-36</x:v>
      </x:c>
      <x:c r="F35" s="8" t="n">
        <x:v>66554828</x:v>
      </x:c>
      <x:c r="G35" s="8" t="n">
        <x:v>69855538</x:v>
      </x:c>
      <x:c r="H35" s="9" t="n">
        <x:f>F35/G35</x:f>
        <x:v>0.9527494870914888</x:v>
      </x:c>
      <x:c r="I35" s="8" t="n">
        <x:v>39078</x:v>
      </x:c>
      <x:c r="J35" s="8" t="n">
        <x:v>72000</x:v>
      </x:c>
      <x:c r="K35" s="9" t="n">
        <x:f>I35/J35</x:f>
        <x:v>0.54275</x:v>
      </x:c>
      <x:c r="L35" s="8" t="n">
        <x:v>4390431</x:v>
      </x:c>
      <x:c r="M35" s="7" t="n">
        <x:f>L35/G35</x:f>
        <x:v>0.06285014940404582</x:v>
      </x:c>
    </x:row>
    <x:row r="36" ht="23" customHeight="1">
      <x:c r="A36" s="6" t="str">
        <x:v>fill</x:v>
      </x:c>
      <x:c r="B36" s="6" t="str">
        <x:v>传统区间RO</x:v>
      </x:c>
      <x:c r="C36" s="12" t="n">
        <x:v>2</x:v>
      </x:c>
      <x:c r="D36" s="10" t="str">
        <x:v>1-36</x:v>
      </x:c>
      <x:c r="E36" s="10" t="str">
        <x:v>37-48</x:v>
      </x:c>
      <x:c r="F36" s="8" t="n">
        <x:v>89592364</x:v>
      </x:c>
      <x:c r="G36" s="8" t="n">
        <x:v>93473766</x:v>
      </x:c>
      <x:c r="H36" s="9" t="n">
        <x:f>F36/G36</x:f>
        <x:v>0.9584760284505922</x:v>
      </x:c>
      <x:c r="I36" s="8" t="n">
        <x:v>38854</x:v>
      </x:c>
      <x:c r="J36" s="8" t="n">
        <x:v>72000</x:v>
      </x:c>
      <x:c r="K36" s="9" t="n">
        <x:f>I36/J36</x:f>
        <x:v>0.5396388888888889</x:v>
      </x:c>
      <x:c r="L36" s="8" t="n">
        <x:v>5080212</x:v>
      </x:c>
      <x:c r="M36" s="7" t="n">
        <x:f>L36/G36</x:f>
        <x:v>0.05434906730943097</x:v>
      </x:c>
    </x:row>
    <x:row r="37" ht="23" customHeight="1">
      <x:c r="A37" s="6" t="str">
        <x:v>fill</x:v>
      </x:c>
      <x:c r="B37" s="6" t="str">
        <x:v>传统区间RO</x:v>
      </x:c>
      <x:c r="C37" s="12" t="n">
        <x:v>3</x:v>
      </x:c>
      <x:c r="D37" s="10" t="str">
        <x:v>1-48</x:v>
      </x:c>
      <x:c r="E37" s="10" t="str">
        <x:v>49-60</x:v>
      </x:c>
      <x:c r="F37" s="8" t="n">
        <x:v>110577377</x:v>
      </x:c>
      <x:c r="G37" s="8" t="n">
        <x:v>114807260</x:v>
      </x:c>
      <x:c r="H37" s="9" t="n">
        <x:f>F37/G37</x:f>
        <x:v>0.9631566592565661</x:v>
      </x:c>
      <x:c r="I37" s="8" t="n">
        <x:v>38209</x:v>
      </x:c>
      <x:c r="J37" s="8" t="n">
        <x:v>72000</x:v>
      </x:c>
      <x:c r="K37" s="9" t="n">
        <x:f>I37/J37</x:f>
        <x:v>0.5306805555555556</x:v>
      </x:c>
      <x:c r="L37" s="8" t="n">
        <x:v>5848137</x:v>
      </x:c>
      <x:c r="M37" s="7" t="n">
        <x:f>L37/G37</x:f>
        <x:v>0.05093873854318969</x:v>
      </x:c>
    </x:row>
    <x:row r="38" ht="23" customHeight="1">
      <x:c r="A38" s="6" t="str">
        <x:v>positive</x:v>
      </x:c>
      <x:c r="B38" s="6" t="str">
        <x:v>传统区间RO</x:v>
      </x:c>
      <x:c r="C38" s="12" t="n">
        <x:v>1</x:v>
      </x:c>
      <x:c r="D38" s="10" t="str">
        <x:v>1-24</x:v>
      </x:c>
      <x:c r="E38" s="10" t="str">
        <x:v>25-36</x:v>
      </x:c>
      <x:c r="F38" s="8" t="n">
        <x:v>69716916</x:v>
      </x:c>
      <x:c r="G38" s="8" t="n">
        <x:v>69855538</x:v>
      </x:c>
      <x:c r="H38" s="9" t="n">
        <x:f>F38/G38</x:f>
        <x:v>0.9980155904031546</x:v>
      </x:c>
      <x:c r="I38" s="8" t="n">
        <x:v>67997</x:v>
      </x:c>
      <x:c r="J38" s="8" t="n">
        <x:v>72000</x:v>
      </x:c>
      <x:c r="K38" s="9" t="n">
        <x:f>I38/J38</x:f>
        <x:v>0.9444027777777778</x:v>
      </x:c>
      <x:c r="L38" s="8" t="n">
        <x:v>21304170</x:v>
      </x:c>
      <x:c r="M38" s="7" t="n">
        <x:f>L38/G38</x:f>
        <x:v>0.30497467502147074</x:v>
      </x:c>
    </x:row>
    <x:row r="39" ht="23" customHeight="1">
      <x:c r="A39" s="6" t="str">
        <x:v>positive</x:v>
      </x:c>
      <x:c r="B39" s="6" t="str">
        <x:v>传统区间RO</x:v>
      </x:c>
      <x:c r="C39" s="12" t="n">
        <x:v>2</x:v>
      </x:c>
      <x:c r="D39" s="10" t="str">
        <x:v>1-36</x:v>
      </x:c>
      <x:c r="E39" s="10" t="str">
        <x:v>37-48</x:v>
      </x:c>
      <x:c r="F39" s="8" t="n">
        <x:v>93357957</x:v>
      </x:c>
      <x:c r="G39" s="8" t="n">
        <x:v>93473766</x:v>
      </x:c>
      <x:c r="H39" s="9" t="n">
        <x:f>F39/G39</x:f>
        <x:v>0.9987610534489431</x:v>
      </x:c>
      <x:c r="I39" s="8" t="n">
        <x:v>68439</x:v>
      </x:c>
      <x:c r="J39" s="8" t="n">
        <x:v>72000</x:v>
      </x:c>
      <x:c r="K39" s="9" t="n">
        <x:f>I39/J39</x:f>
        <x:v>0.9505416666666666</x:v>
      </x:c>
      <x:c r="L39" s="8" t="n">
        <x:v>25025206</x:v>
      </x:c>
      <x:c r="M39" s="7" t="n">
        <x:f>L39/G39</x:f>
        <x:v>0.2677243794799067</x:v>
      </x:c>
    </x:row>
    <x:row r="40" ht="23" customHeight="1">
      <x:c r="A40" s="6" t="str">
        <x:v>positive</x:v>
      </x:c>
      <x:c r="B40" s="6" t="str">
        <x:v>传统区间RO</x:v>
      </x:c>
      <x:c r="C40" s="12" t="n">
        <x:v>3</x:v>
      </x:c>
      <x:c r="D40" s="10" t="str">
        <x:v>1-48</x:v>
      </x:c>
      <x:c r="E40" s="10" t="str">
        <x:v>49-60</x:v>
      </x:c>
      <x:c r="F40" s="8" t="n">
        <x:v>114662783</x:v>
      </x:c>
      <x:c r="G40" s="8" t="n">
        <x:v>114807260</x:v>
      </x:c>
      <x:c r="H40" s="9" t="n">
        <x:f>F40/G40</x:f>
        <x:v>0.9987415691307326</x:v>
      </x:c>
      <x:c r="I40" s="8" t="n">
        <x:v>68904</x:v>
      </x:c>
      <x:c r="J40" s="8" t="n">
        <x:v>72000</x:v>
      </x:c>
      <x:c r="K40" s="9" t="n">
        <x:f>I40/J40</x:f>
        <x:v>0.957</x:v>
      </x:c>
      <x:c r="L40" s="8" t="n">
        <x:v>28565303</x:v>
      </x:c>
      <x:c r="M40" s="7" t="n">
        <x:f>L40/G40</x:f>
        <x:v>0.24881094627639402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2">
      <x:c r="A2" s="1" t="str">
        <x:v>三轮合计绝对误差 / 三轮合计需求选择预测参数</x:v>
      </x:c>
    </x:row>
    <x:row r="4" ht="38" customHeight="1">
      <x:c r="A4" s="5" t="str">
        <x:v>趋势混合blend</x:v>
      </x:c>
      <x:c r="B4" s="5" t="str">
        <x:v>窗口window</x:v>
      </x:c>
      <x:c r="C4" s="5" t="str">
        <x:v>先验prior</x:v>
      </x:c>
      <x:c r="D4" s="5" t="str">
        <x:v>合计绝对误差</x:v>
      </x:c>
      <x:c r="E4" s="5" t="str">
        <x:v>合计需求</x:v>
      </x:c>
      <x:c r="F4" s="5" t="str">
        <x:v>36期WAPE</x:v>
      </x:c>
    </x:row>
    <x:row r="5" ht="23" customHeight="1">
      <x:c r="A5" s="6" t="n">
        <x:v>0</x:v>
      </x:c>
      <x:c r="B5" s="6" t="n">
        <x:v>3</x:v>
      </x:c>
      <x:c r="C5" s="7" t="n">
        <x:v>0</x:v>
      </x:c>
      <x:c r="D5" s="8" t="n">
        <x:v>30940127.75776165</x:v>
      </x:c>
      <x:c r="E5" s="8" t="n">
        <x:v>278136564</x:v>
      </x:c>
      <x:c r="F5" s="9" t="n">
        <x:f>D5/E5</x:f>
        <x:v>0.1112407779574125</x:v>
      </x:c>
    </x:row>
    <x:row r="6" ht="23" customHeight="1">
      <x:c r="A6" s="6" t="n">
        <x:v>0</x:v>
      </x:c>
      <x:c r="B6" s="6" t="n">
        <x:v>3</x:v>
      </x:c>
      <x:c r="C6" s="7" t="n">
        <x:v>0.5</x:v>
      </x:c>
      <x:c r="D6" s="8" t="n">
        <x:v>50236589.45961599</x:v>
      </x:c>
      <x:c r="E6" s="8" t="n">
        <x:v>278136564</x:v>
      </x:c>
      <x:c r="F6" s="9" t="n">
        <x:f>D6/E6</x:f>
        <x:v>0.18061842979988776</x:v>
      </x:c>
    </x:row>
    <x:row r="7" ht="23" customHeight="1">
      <x:c r="A7" s="6" t="n">
        <x:v>0</x:v>
      </x:c>
      <x:c r="B7" s="6" t="n">
        <x:v>3</x:v>
      </x:c>
      <x:c r="C7" s="7" t="n">
        <x:v>1</x:v>
      </x:c>
      <x:c r="D7" s="8" t="n">
        <x:v>66126918.76570369</x:v>
      </x:c>
      <x:c r="E7" s="8" t="n">
        <x:v>278136564</x:v>
      </x:c>
      <x:c r="F7" s="9" t="n">
        <x:f>D7/E7</x:f>
        <x:v>0.23774982265799363</x:v>
      </x:c>
    </x:row>
    <x:row r="8" ht="23" customHeight="1">
      <x:c r="A8" s="6" t="n">
        <x:v>0</x:v>
      </x:c>
      <x:c r="B8" s="6" t="n">
        <x:v>3</x:v>
      </x:c>
      <x:c r="C8" s="7" t="n">
        <x:v>3</x:v>
      </x:c>
      <x:c r="D8" s="8" t="n">
        <x:v>105903689.12423912</x:v>
      </x:c>
      <x:c r="E8" s="8" t="n">
        <x:v>278136564</x:v>
      </x:c>
      <x:c r="F8" s="9" t="n">
        <x:f>D8/E8</x:f>
        <x:v>0.3807614777474533</x:v>
      </x:c>
    </x:row>
    <x:row r="9" ht="23" customHeight="1">
      <x:c r="A9" s="6" t="n">
        <x:v>0</x:v>
      </x:c>
      <x:c r="B9" s="6" t="n">
        <x:v>6</x:v>
      </x:c>
      <x:c r="C9" s="7" t="n">
        <x:v>0</x:v>
      </x:c>
      <x:c r="D9" s="8" t="n">
        <x:v>42150887.60050813</x:v>
      </x:c>
      <x:c r="E9" s="8" t="n">
        <x:v>278136564</x:v>
      </x:c>
      <x:c r="F9" s="9" t="n">
        <x:f>D9/E9</x:f>
        <x:v>0.15154745206569867</x:v>
      </x:c>
    </x:row>
    <x:row r="10" ht="23" customHeight="1">
      <x:c r="A10" s="6" t="n">
        <x:v>0</x:v>
      </x:c>
      <x:c r="B10" s="6" t="n">
        <x:v>6</x:v>
      </x:c>
      <x:c r="C10" s="7" t="n">
        <x:v>0.5</x:v>
      </x:c>
      <x:c r="D10" s="8" t="n">
        <x:v>51925463.61108256</x:v>
      </x:c>
      <x:c r="E10" s="8" t="n">
        <x:v>278136564</x:v>
      </x:c>
      <x:c r="F10" s="9" t="n">
        <x:f>D10/E10</x:f>
        <x:v>0.18669053383100886</x:v>
      </x:c>
    </x:row>
    <x:row r="11" ht="23" customHeight="1">
      <x:c r="A11" s="6" t="n">
        <x:v>0</x:v>
      </x:c>
      <x:c r="B11" s="6" t="n">
        <x:v>6</x:v>
      </x:c>
      <x:c r="C11" s="7" t="n">
        <x:v>1</x:v>
      </x:c>
      <x:c r="D11" s="8" t="n">
        <x:v>60706810.306369856</x:v>
      </x:c>
      <x:c r="E11" s="8" t="n">
        <x:v>278136564</x:v>
      </x:c>
      <x:c r="F11" s="9" t="n">
        <x:f>D11/E11</x:f>
        <x:v>0.2182626024903718</x:v>
      </x:c>
    </x:row>
    <x:row r="12" ht="23" customHeight="1">
      <x:c r="A12" s="6" t="n">
        <x:v>0</x:v>
      </x:c>
      <x:c r="B12" s="6" t="n">
        <x:v>6</x:v>
      </x:c>
      <x:c r="C12" s="7" t="n">
        <x:v>3</x:v>
      </x:c>
      <x:c r="D12" s="8" t="n">
        <x:v>87559956.62851672</x:v>
      </x:c>
      <x:c r="E12" s="8" t="n">
        <x:v>278136564</x:v>
      </x:c>
      <x:c r="F12" s="9" t="n">
        <x:f>D12/E12</x:f>
        <x:v>0.3148092266952601</x:v>
      </x:c>
    </x:row>
    <x:row r="13" ht="23" customHeight="1">
      <x:c r="A13" s="6" t="n">
        <x:v>0</x:v>
      </x:c>
      <x:c r="B13" s="6" t="n">
        <x:v>12</x:v>
      </x:c>
      <x:c r="C13" s="7" t="n">
        <x:v>0</x:v>
      </x:c>
      <x:c r="D13" s="8" t="n">
        <x:v>60640796.47746151</x:v>
      </x:c>
      <x:c r="E13" s="8" t="n">
        <x:v>278136564</x:v>
      </x:c>
      <x:c r="F13" s="9" t="n">
        <x:f>D13/E13</x:f>
        <x:v>0.21802525926602556</x:v>
      </x:c>
    </x:row>
    <x:row r="14" ht="23" customHeight="1">
      <x:c r="A14" s="6" t="n">
        <x:v>0</x:v>
      </x:c>
      <x:c r="B14" s="6" t="n">
        <x:v>12</x:v>
      </x:c>
      <x:c r="C14" s="7" t="n">
        <x:v>0.5</x:v>
      </x:c>
      <x:c r="D14" s="8" t="n">
        <x:v>65334444.43646064</x:v>
      </x:c>
      <x:c r="E14" s="8" t="n">
        <x:v>278136564</x:v>
      </x:c>
      <x:c r="F14" s="9" t="n">
        <x:f>D14/E14</x:f>
        <x:v>0.23490059522149212</x:v>
      </x:c>
    </x:row>
    <x:row r="15" ht="23" customHeight="1">
      <x:c r="A15" s="6" t="n">
        <x:v>0</x:v>
      </x:c>
      <x:c r="B15" s="6" t="n">
        <x:v>12</x:v>
      </x:c>
      <x:c r="C15" s="7" t="n">
        <x:v>1</x:v>
      </x:c>
      <x:c r="D15" s="8" t="n">
        <x:v>69723729.98516014</x:v>
      </x:c>
      <x:c r="E15" s="8" t="n">
        <x:v>278136564</x:v>
      </x:c>
      <x:c r="F15" s="9" t="n">
        <x:f>D15/E15</x:f>
        <x:v>0.25068163991973436</x:v>
      </x:c>
    </x:row>
    <x:row r="16" ht="23" customHeight="1">
      <x:c r="A16" s="6" t="n">
        <x:v>0</x:v>
      </x:c>
      <x:c r="B16" s="6" t="n">
        <x:v>12</x:v>
      </x:c>
      <x:c r="C16" s="7" t="n">
        <x:v>3</x:v>
      </x:c>
      <x:c r="D16" s="8" t="n">
        <x:v>84726490.72650115</x:v>
      </x:c>
      <x:c r="E16" s="8" t="n">
        <x:v>278136564</x:v>
      </x:c>
      <x:c r="F16" s="9" t="n">
        <x:f>D16/E16</x:f>
        <x:v>0.30462190769891423</x:v>
      </x:c>
    </x:row>
    <x:row r="17" ht="23" customHeight="1">
      <x:c r="A17" s="6" t="n">
        <x:v>0.5</x:v>
      </x:c>
      <x:c r="B17" s="6" t="n">
        <x:v>3</x:v>
      </x:c>
      <x:c r="C17" s="7" t="n">
        <x:v>0</x:v>
      </x:c>
      <x:c r="D17" s="8" t="n">
        <x:v>28113563.62938372</x:v>
      </x:c>
      <x:c r="E17" s="8" t="n">
        <x:v>278136564</x:v>
      </x:c>
      <x:c r="F17" s="9" t="n">
        <x:f>D17/E17</x:f>
        <x:v>0.1010782732952138</x:v>
      </x:c>
    </x:row>
    <x:row r="18" ht="23" customHeight="1">
      <x:c r="A18" s="6" t="n">
        <x:v>0.5</x:v>
      </x:c>
      <x:c r="B18" s="6" t="n">
        <x:v>3</x:v>
      </x:c>
      <x:c r="C18" s="7" t="n">
        <x:v>0.5</x:v>
      </x:c>
      <x:c r="D18" s="8" t="n">
        <x:v>38179322.00221719</x:v>
      </x:c>
      <x:c r="E18" s="8" t="n">
        <x:v>278136564</x:v>
      </x:c>
      <x:c r="F18" s="9" t="n">
        <x:f>D18/E18</x:f>
        <x:v>0.13726825935124873</x:v>
      </x:c>
    </x:row>
    <x:row r="19" ht="23" customHeight="1">
      <x:c r="A19" s="6" t="n">
        <x:v>0.5</x:v>
      </x:c>
      <x:c r="B19" s="6" t="n">
        <x:v>3</x:v>
      </x:c>
      <x:c r="C19" s="7" t="n">
        <x:v>1</x:v>
      </x:c>
      <x:c r="D19" s="8" t="n">
        <x:v>47016152.21576942</x:v>
      </x:c>
      <x:c r="E19" s="8" t="n">
        <x:v>278136564</x:v>
      </x:c>
      <x:c r="F19" s="9" t="n">
        <x:f>D19/E19</x:f>
        <x:v>0.16903981101804874</x:v>
      </x:c>
    </x:row>
    <x:row r="20" ht="23" customHeight="1">
      <x:c r="A20" s="6" t="n">
        <x:v>0.5</x:v>
      </x:c>
      <x:c r="B20" s="6" t="n">
        <x:v>3</x:v>
      </x:c>
      <x:c r="C20" s="7" t="n">
        <x:v>3</x:v>
      </x:c>
      <x:c r="D20" s="8" t="n">
        <x:v>69962432.16360706</x:v>
      </x:c>
      <x:c r="E20" s="8" t="n">
        <x:v>278136564</x:v>
      </x:c>
      <x:c r="F20" s="9" t="n">
        <x:f>D20/E20</x:f>
        <x:v>0.25153985925995354</x:v>
      </x:c>
    </x:row>
    <x:row r="21" ht="23" customHeight="1">
      <x:c r="A21" s="6" t="n">
        <x:v>0.5</x:v>
      </x:c>
      <x:c r="B21" s="6" t="n">
        <x:v>6</x:v>
      </x:c>
      <x:c r="C21" s="7" t="n">
        <x:v>0</x:v>
      </x:c>
      <x:c r="D21" s="8" t="n">
        <x:v>36986503.006851226</x:v>
      </x:c>
      <x:c r="E21" s="8" t="n">
        <x:v>278136564</x:v>
      </x:c>
      <x:c r="F21" s="9" t="n">
        <x:f>D21/E21</x:f>
        <x:v>0.13297965026579975</x:v>
      </x:c>
    </x:row>
    <x:row r="22" ht="23" customHeight="1">
      <x:c r="A22" s="6" t="n">
        <x:v>0.5</x:v>
      </x:c>
      <x:c r="B22" s="6" t="n">
        <x:v>6</x:v>
      </x:c>
      <x:c r="C22" s="7" t="n">
        <x:v>0.5</x:v>
      </x:c>
      <x:c r="D22" s="8" t="n">
        <x:v>42024957.68065539</x:v>
      </x:c>
      <x:c r="E22" s="8" t="n">
        <x:v>278136564</x:v>
      </x:c>
      <x:c r="F22" s="9" t="n">
        <x:f>D22/E22</x:f>
        <x:v>0.15109468915656624</x:v>
      </x:c>
    </x:row>
    <x:row r="23" ht="23" customHeight="1">
      <x:c r="A23" s="6" t="n">
        <x:v>0.5</x:v>
      </x:c>
      <x:c r="B23" s="6" t="n">
        <x:v>6</x:v>
      </x:c>
      <x:c r="C23" s="7" t="n">
        <x:v>1</x:v>
      </x:c>
      <x:c r="D23" s="8" t="n">
        <x:v>46711348.60553195</x:v>
      </x:c>
      <x:c r="E23" s="8" t="n">
        <x:v>278136564</x:v>
      </x:c>
      <x:c r="F23" s="9" t="n">
        <x:f>D23/E23</x:f>
        <x:v>0.16794393348992387</x:v>
      </x:c>
    </x:row>
    <x:row r="24" ht="23" customHeight="1">
      <x:c r="A24" s="6" t="n">
        <x:v>0.5</x:v>
      </x:c>
      <x:c r="B24" s="6" t="n">
        <x:v>6</x:v>
      </x:c>
      <x:c r="C24" s="7" t="n">
        <x:v>3</x:v>
      </x:c>
      <x:c r="D24" s="8" t="n">
        <x:v>61484666.876298</x:v>
      </x:c>
      <x:c r="E24" s="8" t="n">
        <x:v>278136564</x:v>
      </x:c>
      <x:c r="F24" s="9" t="n">
        <x:f>D24/E24</x:f>
        <x:v>0.2210592738763322</x:v>
      </x:c>
    </x:row>
    <x:row r="25" ht="23" customHeight="1">
      <x:c r="A25" s="6" t="n">
        <x:v>0.5</x:v>
      </x:c>
      <x:c r="B25" s="6" t="n">
        <x:v>12</x:v>
      </x:c>
      <x:c r="C25" s="7" t="n">
        <x:v>0</x:v>
      </x:c>
      <x:c r="D25" s="8" t="n">
        <x:v>50699206.86224213</x:v>
      </x:c>
      <x:c r="E25" s="8" t="n">
        <x:v>278136564</x:v>
      </x:c>
      <x:c r="F25" s="9" t="n">
        <x:f>D25/E25</x:f>
        <x:v>0.18228170411367464</x:v>
      </x:c>
    </x:row>
    <x:row r="26" ht="23" customHeight="1">
      <x:c r="A26" s="6" t="n">
        <x:v>0.5</x:v>
      </x:c>
      <x:c r="B26" s="6" t="n">
        <x:v>12</x:v>
      </x:c>
      <x:c r="C26" s="7" t="n">
        <x:v>0.5</x:v>
      </x:c>
      <x:c r="D26" s="8" t="n">
        <x:v>53141153.84553543</x:v>
      </x:c>
      <x:c r="E26" s="8" t="n">
        <x:v>278136564</x:v>
      </x:c>
      <x:c r="F26" s="9" t="n">
        <x:f>D26/E26</x:f>
        <x:v>0.1910613731660805</x:v>
      </x:c>
    </x:row>
    <x:row r="27" ht="23" customHeight="1">
      <x:c r="A27" s="6" t="n">
        <x:v>0.5</x:v>
      </x:c>
      <x:c r="B27" s="6" t="n">
        <x:v>12</x:v>
      </x:c>
      <x:c r="C27" s="7" t="n">
        <x:v>1</x:v>
      </x:c>
      <x:c r="D27" s="8" t="n">
        <x:v>55451377.99269234</x:v>
      </x:c>
      <x:c r="E27" s="8" t="n">
        <x:v>278136564</x:v>
      </x:c>
      <x:c r="F27" s="9" t="n">
        <x:f>D27/E27</x:f>
        <x:v>0.19936745171229028</x:v>
      </x:c>
    </x:row>
    <x:row r="28" ht="23" customHeight="1">
      <x:c r="A28" s="6" t="n">
        <x:v>0.5</x:v>
      </x:c>
      <x:c r="B28" s="6" t="n">
        <x:v>12</x:v>
      </x:c>
      <x:c r="C28" s="7" t="n">
        <x:v>3</x:v>
      </x:c>
      <x:c r="D28" s="8" t="n">
        <x:v>63388348.84155825</x:v>
      </x:c>
      <x:c r="E28" s="8" t="n">
        <x:v>278136564</x:v>
      </x:c>
      <x:c r="F28" s="9" t="n">
        <x:f>D28/E28</x:f>
        <x:v>0.2279036884972745</x:v>
      </x:c>
    </x:row>
    <x:row r="29" ht="23" customHeight="1">
      <x:c r="A29" s="6" t="n">
        <x:v>1</x:v>
      </x:c>
      <x:c r="B29" s="6" t="n">
        <x:v>3</x:v>
      </x:c>
      <x:c r="C29" s="7" t="n">
        <x:v>0</x:v>
      </x:c>
      <x:c r="D29" s="8" t="n">
        <x:v>26416174.284382585</x:v>
      </x:c>
      <x:c r="E29" s="8" t="n">
        <x:v>278136564</x:v>
      </x:c>
      <x:c r="F29" s="9" t="n">
        <x:f>D29/E29</x:f>
        <x:v>0.09497555411083092</x:v>
      </x:c>
    </x:row>
    <x:row r="30" ht="23" customHeight="1">
      <x:c r="A30" s="6" t="n">
        <x:v>1</x:v>
      </x:c>
      <x:c r="B30" s="6" t="n">
        <x:v>3</x:v>
      </x:c>
      <x:c r="C30" s="7" t="n">
        <x:v>0.5</x:v>
      </x:c>
      <x:c r="D30" s="8" t="n">
        <x:v>28646527.78492764</x:v>
      </x:c>
      <x:c r="E30" s="8" t="n">
        <x:v>278136564</x:v>
      </x:c>
      <x:c r="F30" s="9" t="n">
        <x:f>D30/E30</x:f>
        <x:v>0.10299446923823953</x:v>
      </x:c>
    </x:row>
    <x:row r="31" ht="23" customHeight="1">
      <x:c r="A31" s="6" t="n">
        <x:v>1</x:v>
      </x:c>
      <x:c r="B31" s="6" t="n">
        <x:v>3</x:v>
      </x:c>
      <x:c r="C31" s="7" t="n">
        <x:v>1</x:v>
      </x:c>
      <x:c r="D31" s="8" t="n">
        <x:v>31401092.718183476</x:v>
      </x:c>
      <x:c r="E31" s="8" t="n">
        <x:v>278136564</x:v>
      </x:c>
      <x:c r="F31" s="9" t="n">
        <x:f>D31/E31</x:f>
        <x:v>0.11289811115299273</x:v>
      </x:c>
    </x:row>
    <x:row r="32" ht="23" customHeight="1">
      <x:c r="A32" s="6" t="n">
        <x:v>1</x:v>
      </x:c>
      <x:c r="B32" s="6" t="n">
        <x:v>3</x:v>
      </x:c>
      <x:c r="C32" s="7" t="n">
        <x:v>3</x:v>
      </x:c>
      <x:c r="D32" s="8" t="n">
        <x:v>40212669.07372872</x:v>
      </x:c>
      <x:c r="E32" s="8" t="n">
        <x:v>278136564</x:v>
      </x:c>
      <x:c r="F32" s="9" t="n">
        <x:f>D32/E32</x:f>
        <x:v>0.14457886620663338</x:v>
      </x:c>
    </x:row>
    <x:row r="33" ht="23" customHeight="1">
      <x:c r="A33" s="6" t="n">
        <x:v>1</x:v>
      </x:c>
      <x:c r="B33" s="6" t="n">
        <x:v>6</x:v>
      </x:c>
      <x:c r="C33" s="7" t="n">
        <x:v>0</x:v>
      </x:c>
      <x:c r="D33" s="8" t="n">
        <x:v>33593901.09128416</x:v>
      </x:c>
      <x:c r="E33" s="8" t="n">
        <x:v>278136564</x:v>
      </x:c>
      <x:c r="F33" s="9" t="n">
        <x:f>D33/E33</x:f>
        <x:v>0.12078203817634046</x:v>
      </x:c>
    </x:row>
    <x:row r="34" ht="23" customHeight="1">
      <x:c r="A34" s="6" t="n">
        <x:v>1</x:v>
      </x:c>
      <x:c r="B34" s="6" t="n">
        <x:v>6</x:v>
      </x:c>
      <x:c r="C34" s="7" t="n">
        <x:v>0.5</x:v>
      </x:c>
      <x:c r="D34" s="8" t="n">
        <x:v>34646185.58601238</x:v>
      </x:c>
      <x:c r="E34" s="8" t="n">
        <x:v>278136564</x:v>
      </x:c>
      <x:c r="F34" s="9" t="n">
        <x:f>D34/E34</x:f>
        <x:v>0.12456537568362418</x:v>
      </x:c>
    </x:row>
    <x:row r="35" ht="23" customHeight="1">
      <x:c r="A35" s="6" t="n">
        <x:v>1</x:v>
      </x:c>
      <x:c r="B35" s="6" t="n">
        <x:v>6</x:v>
      </x:c>
      <x:c r="C35" s="7" t="n">
        <x:v>1</x:v>
      </x:c>
      <x:c r="D35" s="8" t="n">
        <x:v>35805904.74515699</x:v>
      </x:c>
      <x:c r="E35" s="8" t="n">
        <x:v>278136564</x:v>
      </x:c>
      <x:c r="F35" s="9" t="n">
        <x:f>D35/E35</x:f>
        <x:v>0.1287349790700549</x:v>
      </x:c>
    </x:row>
    <x:row r="36" ht="23" customHeight="1">
      <x:c r="A36" s="6" t="n">
        <x:v>1</x:v>
      </x:c>
      <x:c r="B36" s="6" t="n">
        <x:v>6</x:v>
      </x:c>
      <x:c r="C36" s="7" t="n">
        <x:v>3</x:v>
      </x:c>
      <x:c r="D36" s="8" t="n">
        <x:v>40206138.9735494</x:v>
      </x:c>
      <x:c r="E36" s="8" t="n">
        <x:v>278136564</x:v>
      </x:c>
      <x:c r="F36" s="9" t="n">
        <x:f>D36/E36</x:f>
        <x:v>0.14455538817093247</x:v>
      </x:c>
    </x:row>
    <x:row r="37" ht="23" customHeight="1">
      <x:c r="A37" s="6" t="n">
        <x:v>1</x:v>
      </x:c>
      <x:c r="B37" s="6" t="n">
        <x:v>12</x:v>
      </x:c>
      <x:c r="C37" s="7" t="n">
        <x:v>0</x:v>
      </x:c>
      <x:c r="D37" s="8" t="n">
        <x:v>44011696.82144707</x:v>
      </x:c>
      <x:c r="E37" s="8" t="n">
        <x:v>278136564</x:v>
      </x:c>
      <x:c r="F37" s="9" t="n">
        <x:f>D37/E37</x:f>
        <x:v>0.15823772390259006</x:v>
      </x:c>
    </x:row>
    <x:row r="38" ht="23" customHeight="1">
      <x:c r="A38" s="6" t="n">
        <x:v>1</x:v>
      </x:c>
      <x:c r="B38" s="6" t="n">
        <x:v>12</x:v>
      </x:c>
      <x:c r="C38" s="7" t="n">
        <x:v>0.5</x:v>
      </x:c>
      <x:c r="D38" s="8" t="n">
        <x:v>44510069.59603278</x:v>
      </x:c>
      <x:c r="E38" s="8" t="n">
        <x:v>278136564</x:v>
      </x:c>
      <x:c r="F38" s="9" t="n">
        <x:f>D38/E38</x:f>
        <x:v>0.16002955151208664</x:v>
      </x:c>
    </x:row>
    <x:row r="39" ht="23" customHeight="1">
      <x:c r="A39" s="6" t="n">
        <x:v>1</x:v>
      </x:c>
      <x:c r="B39" s="6" t="n">
        <x:v>12</x:v>
      </x:c>
      <x:c r="C39" s="7" t="n">
        <x:v>1</x:v>
      </x:c>
      <x:c r="D39" s="8" t="n">
        <x:v>44995700.69769593</x:v>
      </x:c>
      <x:c r="E39" s="8" t="n">
        <x:v>278136564</x:v>
      </x:c>
      <x:c r="F39" s="9" t="n">
        <x:f>D39/E39</x:f>
        <x:v>0.16177556826975087</x:v>
      </x:c>
    </x:row>
    <x:row r="40" ht="23" customHeight="1">
      <x:c r="A40" s="6" t="n">
        <x:v>1</x:v>
      </x:c>
      <x:c r="B40" s="6" t="n">
        <x:v>12</x:v>
      </x:c>
      <x:c r="C40" s="7" t="n">
        <x:v>3</x:v>
      </x:c>
      <x:c r="D40" s="8" t="n">
        <x:v>46784221.60394564</x:v>
      </x:c>
      <x:c r="E40" s="8" t="n">
        <x:v>278136564</x:v>
      </x:c>
      <x:c r="F40" s="9" t="n">
        <x:f>D40/E40</x:f>
        <x:v>0.16820593787138913</x:v>
      </x:c>
    </x:row>
  </x:sheetData>
  <x:pageMargins left="0.7" right="0.7" top="0.75" bottom="0.75" header="0.3" footer="0.3"/>
</x:worksheet>
</file>